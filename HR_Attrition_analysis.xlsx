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 Sharma\Downloads\"/>
    </mc:Choice>
  </mc:AlternateContent>
  <xr:revisionPtr revIDLastSave="0" documentId="8_{6AA772C3-E4F7-4878-8C71-30443AB450AD}" xr6:coauthVersionLast="47" xr6:coauthVersionMax="47" xr10:uidLastSave="{00000000-0000-0000-0000-000000000000}"/>
  <bookViews>
    <workbookView xWindow="-108" yWindow="-108" windowWidth="23256" windowHeight="12456" firstSheet="1" activeTab="1" xr2:uid="{90083ADB-A7EC-4DEB-862D-C5C7B168DCA9}"/>
  </bookViews>
  <sheets>
    <sheet name="WA_Fn-UseC_-HR-Employee-Att (2)" sheetId="3" r:id="rId1"/>
    <sheet name="Pivots" sheetId="4" r:id="rId2"/>
    <sheet name="HR_Data_Clean" sheetId="1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</calcChain>
</file>

<file path=xl/sharedStrings.xml><?xml version="1.0" encoding="utf-8"?>
<sst xmlns="http://schemas.openxmlformats.org/spreadsheetml/2006/main" count="25107" uniqueCount="79">
  <si>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</si>
  <si>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</si>
  <si>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</si>
  <si>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</si>
  <si>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</si>
  <si>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</si>
  <si>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</si>
  <si>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</si>
  <si>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</si>
  <si>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</si>
  <si>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</si>
  <si>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</si>
  <si>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</si>
  <si>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</si>
  <si>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</si>
  <si>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</si>
  <si>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</si>
  <si>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</si>
  <si>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</si>
  <si>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</si>
  <si>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</si>
  <si>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</si>
  <si>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</si>
  <si>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</si>
  <si>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</si>
  <si>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</si>
  <si>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</si>
  <si>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</si>
  <si>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</si>
  <si>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</si>
  <si>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</si>
  <si>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</si>
  <si>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</si>
  <si>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</si>
  <si>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</si>
  <si>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</si>
  <si>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</si>
  <si>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</si>
  <si>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</si>
  <si>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</si>
  <si>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</si>
  <si>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</si>
  <si>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</si>
  <si>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</si>
  <si>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</si>
  <si>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</si>
  <si>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</si>
  <si>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</si>
  <si>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</si>
  <si>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</si>
  <si>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</si>
  <si>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</si>
  <si>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</si>
  <si>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</si>
  <si>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</si>
  <si>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</si>
  <si>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</si>
  <si>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</si>
  <si>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</si>
  <si>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</si>
  <si>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</si>
  <si>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</si>
  <si>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TensureBand </t>
  </si>
  <si>
    <t>EstReplacementCost</t>
  </si>
  <si>
    <t>RiskFlag</t>
  </si>
  <si>
    <t>AtRiskCost</t>
  </si>
  <si>
    <t>Row Labels</t>
  </si>
  <si>
    <t>Grand Total</t>
  </si>
  <si>
    <t>Count of Attrition</t>
  </si>
  <si>
    <t>Column Labels</t>
  </si>
  <si>
    <t>0-1</t>
  </si>
  <si>
    <t>1-3</t>
  </si>
  <si>
    <t>4-6</t>
  </si>
  <si>
    <t>7+</t>
  </si>
  <si>
    <t>Average of EstReplacementCost</t>
  </si>
  <si>
    <t>High</t>
  </si>
  <si>
    <t>Low</t>
  </si>
  <si>
    <t>Medium</t>
  </si>
  <si>
    <t>Count of RiskFlag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</si>
</sst>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[HR_Attrition_analysis.xlsx]Pivots!PivotTable1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Pivots!$A$3:$A$6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Pivots!$B$3:$B$6</c:f>
              <c:numCache>
                <c:formatCode>0.00%</c:formatCode>
                <c:ptCount val="3"/>
                <c:pt idx="0">
                  <c:v>0.80952380952380953</c:v>
                </c:pt>
                <c:pt idx="1">
                  <c:v>0.86160249739854322</c:v>
                </c:pt>
                <c:pt idx="2">
                  <c:v>0.79372197309417036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92-41E8-B9E9-58CBB786C1F0}"/>
            </c:ext>
          </c:extLst>
        </c:ser>
        <c:ser>
          <c:idx val="1"/>
          <c:order val="1"/>
          <c:tx>
            <c:strRef>
              <c:f>Pivots!$C$1:$C$2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Pivots!$A$3:$A$6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Pivots!$C$3:$C$6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92-41E8-B9E9-58CBB786C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051616"/>
        <c:axId val="1586480"/>
      </c:barChart>
      <c:catAx>
        <c:axId val="32105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480"/>
        <c:crosses val="autoZero"/>
        <c:auto val="1"/>
        <c:lblAlgn val="ctr"/>
        <c:lblOffset val="100"/>
        <c:noMultiLvlLbl val="0"/>
      </c:catAx>
      <c:valAx>
        <c:axId val="158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5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[HR_Attrition_analysis.xlsx]Pivots!PivotTable2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51744976964583"/>
          <c:y val="0.13786818314377369"/>
          <c:w val="0.70446649371140746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Pivots!$B$13:$B$14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Pivots!$A$15:$A$19</c:f>
              <c:strCache>
                <c:ptCount val="4"/>
                <c:pt idx="0">
                  <c:v>0-1</c:v>
                </c:pt>
                <c:pt idx="1">
                  <c:v>1-3</c:v>
                </c:pt>
                <c:pt idx="2">
                  <c:v>4-6</c:v>
                </c:pt>
                <c:pt idx="3">
                  <c:v>7+</c:v>
                </c:pt>
              </c:strCache>
            </c:strRef>
          </c:cat>
          <c:val>
            <c:numRef>
              <c:f>Pivots!$B$15:$B$19</c:f>
              <c:numCache>
                <c:formatCode>0.00%</c:formatCode>
                <c:ptCount val="4"/>
                <c:pt idx="0">
                  <c:v>0.63636363636363635</c:v>
                </c:pt>
                <c:pt idx="1">
                  <c:v>0.75117370892018775</c:v>
                </c:pt>
                <c:pt idx="2">
                  <c:v>0.87172774869109948</c:v>
                </c:pt>
                <c:pt idx="3">
                  <c:v>0.89320388349514568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3-482F-9AA9-A76DCE298A14}"/>
            </c:ext>
          </c:extLst>
        </c:ser>
        <c:ser>
          <c:idx val="1"/>
          <c:order val="1"/>
          <c:tx>
            <c:strRef>
              <c:f>Pivots!$C$13:$C$14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Pivots!$A$15:$A$19</c:f>
              <c:strCache>
                <c:ptCount val="4"/>
                <c:pt idx="0">
                  <c:v>0-1</c:v>
                </c:pt>
                <c:pt idx="1">
                  <c:v>1-3</c:v>
                </c:pt>
                <c:pt idx="2">
                  <c:v>4-6</c:v>
                </c:pt>
                <c:pt idx="3">
                  <c:v>7+</c:v>
                </c:pt>
              </c:strCache>
            </c:strRef>
          </c:cat>
          <c:val>
            <c:numRef>
              <c:f>Pivots!$C$15:$C$19</c:f>
              <c:numCache>
                <c:formatCode>0.00%</c:formatCode>
                <c:ptCount val="4"/>
                <c:pt idx="0">
                  <c:v>0.36363636363636365</c:v>
                </c:pt>
                <c:pt idx="1">
                  <c:v>0.24882629107981222</c:v>
                </c:pt>
                <c:pt idx="2">
                  <c:v>0.12827225130890052</c:v>
                </c:pt>
                <c:pt idx="3">
                  <c:v>0.10679611650485436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3-482F-9AA9-A76DCE298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966912"/>
        <c:axId val="1686800"/>
      </c:barChart>
      <c:catAx>
        <c:axId val="54396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800"/>
        <c:crosses val="autoZero"/>
        <c:auto val="1"/>
        <c:lblAlgn val="ctr"/>
        <c:lblOffset val="100"/>
        <c:noMultiLvlLbl val="0"/>
      </c:catAx>
      <c:valAx>
        <c:axId val="168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6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[HR_Attrition_analysis.xlsx]Pivots!PivotTable5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Pivots!$A$34:$A$43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Pivots!$B$34:$B$43</c:f>
              <c:numCache>
                <c:formatCode>General</c:formatCode>
                <c:ptCount val="9"/>
                <c:pt idx="0">
                  <c:v>76934</c:v>
                </c:pt>
                <c:pt idx="1">
                  <c:v>33441.75</c:v>
                </c:pt>
                <c:pt idx="2">
                  <c:v>26273.322580645163</c:v>
                </c:pt>
                <c:pt idx="3">
                  <c:v>151176.6</c:v>
                </c:pt>
                <c:pt idx="4">
                  <c:v>66289.5</c:v>
                </c:pt>
                <c:pt idx="5">
                  <c:v>174559.5</c:v>
                </c:pt>
                <c:pt idx="6">
                  <c:v>25024.212765957447</c:v>
                </c:pt>
                <c:pt idx="7">
                  <c:v>67401</c:v>
                </c:pt>
                <c:pt idx="8">
                  <c:v>21282.545454545456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3-4703-857F-10ACBD1C3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356688"/>
        <c:axId val="1653200"/>
      </c:barChart>
      <c:catAx>
        <c:axId val="54835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00"/>
        <c:crosses val="autoZero"/>
        <c:auto val="1"/>
        <c:lblAlgn val="ctr"/>
        <c:lblOffset val="100"/>
        <c:noMultiLvlLbl val="0"/>
      </c:catAx>
      <c:valAx>
        <c:axId val="16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5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[HR_Attrition_analysis.xlsx]Pivots!PivotTable6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025371828521432E-2"/>
          <c:y val="0.13786818314377369"/>
          <c:w val="0.73942847769028874"/>
          <c:h val="0.607674249052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Pivots!$B$49:$B$50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Pivots!$A$51:$A$54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Pivots!$B$51:$B$54</c:f>
              <c:numCache>
                <c:formatCode>General</c:formatCode>
                <c:ptCount val="3"/>
                <c:pt idx="0">
                  <c:v>3</c:v>
                </c:pt>
                <c:pt idx="1">
                  <c:v>39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9-4B75-BC05-E0C4646EA6E3}"/>
            </c:ext>
          </c:extLst>
        </c:ser>
        <c:ser>
          <c:idx val="1"/>
          <c:order val="1"/>
          <c:tx>
            <c:strRef>
              <c:f>Pivots!$C$49:$C$50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Pivots!$A$51:$A$54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Pivots!$C$51:$C$54</c:f>
              <c:numCache>
                <c:formatCode>General</c:formatCode>
                <c:ptCount val="3"/>
                <c:pt idx="0">
                  <c:v>24</c:v>
                </c:pt>
                <c:pt idx="1">
                  <c:v>428</c:v>
                </c:pt>
                <c:pt idx="2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9-4B75-BC05-E0C4646EA6E3}"/>
            </c:ext>
          </c:extLst>
        </c:ser>
        <c:ser>
          <c:idx val="2"/>
          <c:order val="2"/>
          <c:tx>
            <c:strRef>
              <c:f>Pivots!$D$49:$D$50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Pivots!$A$51:$A$54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Pivots!$D$51:$D$54</c:f>
              <c:numCache>
                <c:formatCode>General</c:formatCode>
                <c:ptCount val="3"/>
                <c:pt idx="0">
                  <c:v>36</c:v>
                </c:pt>
                <c:pt idx="1">
                  <c:v>494</c:v>
                </c:pt>
                <c:pt idx="2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A9-4B75-BC05-E0C4646EA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886464"/>
        <c:axId val="1663760"/>
      </c:barChart>
      <c:catAx>
        <c:axId val="54188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60"/>
        <c:crosses val="autoZero"/>
        <c:auto val="1"/>
        <c:lblAlgn val="ctr"/>
        <c:lblOffset val="100"/>
        <c:noMultiLvlLbl val="0"/>
      </c:catAx>
      <c:valAx>
        <c:axId val="166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8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0</xdr:row>
      <xdr:rowOff>22860</xdr:rowOff>
    </xdr:from>
    <xdr:to>
      <xdr:col>12</xdr:col>
      <xdr:colOff>342900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2C63A-FBCB-911D-2FFD-5115A2428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30486</xdr:colOff>
      <xdr:row>14</xdr:row>
      <xdr:rowOff>41910</xdr:rowOff>
    </xdr:from>
    <xdr:to>
      <xdr:col>12</xdr:col>
      <xdr:colOff>327666</xdr:colOff>
      <xdr:row>29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24990-0A94-BB73-A15B-EC0CC91A1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388620</xdr:colOff>
      <xdr:row>30</xdr:row>
      <xdr:rowOff>179070</xdr:rowOff>
    </xdr:from>
    <xdr:to>
      <xdr:col>13</xdr:col>
      <xdr:colOff>274320</xdr:colOff>
      <xdr:row>45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6F78FA-E771-692E-FBF9-DFA0394B2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106680</xdr:colOff>
      <xdr:row>47</xdr:row>
      <xdr:rowOff>57150</xdr:rowOff>
    </xdr:from>
    <xdr:to>
      <xdr:col>13</xdr:col>
      <xdr:colOff>411480</xdr:colOff>
      <xdr:row>62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A96C1D-76A4-3A58-BB44-4BFFBCB6B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 Sharma" refreshedDate="46244.820218287037" createdVersion="8" refreshedVersion="8" minRefreshableVersion="3" recordCount="1470" xr:uid="{A92E2B34-B7B0-41A4-BF0F-6E949DE9224A}">
  <cacheSource type="worksheet">
    <worksheetSource name="Table1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TensureBand " numFmtId="0">
      <sharedItems count="4">
        <s v="4-6"/>
        <s v="7+"/>
        <s v="0-1"/>
        <s v="1-3"/>
      </sharedItems>
    </cacheField>
    <cacheField name="EstReplacementCost" numFmtId="0">
      <sharedItems containsSemiMixedTypes="0" containsString="0" containsNumber="1" containsInteger="1" minValue="9081" maxValue="179991"/>
    </cacheField>
    <cacheField name="RiskFlag" numFmtId="0">
      <sharedItems count="3">
        <s v="Medium"/>
        <s v="Low"/>
        <s v="High"/>
      </sharedItems>
    </cacheField>
    <cacheField name="AtRiskCost" numFmtId="0">
      <sharedItems containsSemiMixedTypes="0" containsString="0" containsNumber="1" containsInteger="1" minValue="0" maxValue="1787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n v="2"/>
    <x v="0"/>
    <n v="4"/>
    <s v="Single"/>
    <n v="5993"/>
    <n v="19479"/>
    <n v="8"/>
    <s v="Yes"/>
    <n v="11"/>
    <n v="3"/>
    <n v="1"/>
    <n v="0"/>
    <n v="8"/>
    <n v="0"/>
    <n v="1"/>
    <n v="6"/>
    <n v="4"/>
    <n v="0"/>
    <n v="5"/>
    <x v="0"/>
    <n v="53937"/>
    <x v="0"/>
    <n v="53937"/>
  </r>
  <r>
    <n v="49"/>
    <x v="1"/>
    <s v="Travel_Frequently"/>
    <n v="279"/>
    <x v="1"/>
    <n v="8"/>
    <n v="1"/>
    <s v="Life Sciences"/>
    <n v="2"/>
    <n v="3"/>
    <s v="Male"/>
    <n v="61"/>
    <n v="2"/>
    <n v="2"/>
    <x v="1"/>
    <n v="2"/>
    <s v="Married"/>
    <n v="5130"/>
    <n v="24907"/>
    <n v="1"/>
    <s v="No"/>
    <n v="23"/>
    <n v="4"/>
    <n v="4"/>
    <n v="1"/>
    <n v="10"/>
    <n v="3"/>
    <n v="3"/>
    <n v="10"/>
    <n v="7"/>
    <n v="1"/>
    <n v="7"/>
    <x v="1"/>
    <n v="46170"/>
    <x v="0"/>
    <n v="0"/>
  </r>
  <r>
    <n v="37"/>
    <x v="0"/>
    <s v="Travel_Rarely"/>
    <n v="1373"/>
    <x v="1"/>
    <n v="2"/>
    <n v="2"/>
    <s v="Other"/>
    <n v="4"/>
    <n v="4"/>
    <s v="Male"/>
    <n v="92"/>
    <n v="2"/>
    <n v="1"/>
    <x v="2"/>
    <n v="3"/>
    <s v="Single"/>
    <n v="2090"/>
    <n v="2396"/>
    <n v="6"/>
    <s v="Yes"/>
    <n v="15"/>
    <n v="3"/>
    <n v="2"/>
    <n v="0"/>
    <n v="7"/>
    <n v="3"/>
    <n v="3"/>
    <n v="0"/>
    <n v="0"/>
    <n v="0"/>
    <n v="0"/>
    <x v="2"/>
    <n v="18810"/>
    <x v="0"/>
    <n v="18810"/>
  </r>
  <r>
    <n v="33"/>
    <x v="1"/>
    <s v="Travel_Frequently"/>
    <n v="1392"/>
    <x v="1"/>
    <n v="3"/>
    <n v="4"/>
    <s v="Life Sciences"/>
    <n v="5"/>
    <n v="4"/>
    <s v="Female"/>
    <n v="56"/>
    <n v="3"/>
    <n v="1"/>
    <x v="1"/>
    <n v="3"/>
    <s v="Married"/>
    <n v="2909"/>
    <n v="23159"/>
    <n v="1"/>
    <s v="Yes"/>
    <n v="11"/>
    <n v="3"/>
    <n v="3"/>
    <n v="0"/>
    <n v="8"/>
    <n v="3"/>
    <n v="3"/>
    <n v="8"/>
    <n v="7"/>
    <n v="3"/>
    <n v="0"/>
    <x v="1"/>
    <n v="26181"/>
    <x v="0"/>
    <n v="0"/>
  </r>
  <r>
    <n v="27"/>
    <x v="1"/>
    <s v="Travel_Rarely"/>
    <n v="591"/>
    <x v="1"/>
    <n v="2"/>
    <n v="1"/>
    <s v="Medical"/>
    <n v="7"/>
    <n v="1"/>
    <s v="Male"/>
    <n v="40"/>
    <n v="3"/>
    <n v="1"/>
    <x v="2"/>
    <n v="2"/>
    <s v="Married"/>
    <n v="3468"/>
    <n v="16632"/>
    <n v="9"/>
    <s v="No"/>
    <n v="12"/>
    <n v="3"/>
    <n v="4"/>
    <n v="1"/>
    <n v="6"/>
    <n v="3"/>
    <n v="3"/>
    <n v="2"/>
    <n v="2"/>
    <n v="2"/>
    <n v="2"/>
    <x v="3"/>
    <n v="31212"/>
    <x v="0"/>
    <n v="0"/>
  </r>
  <r>
    <n v="32"/>
    <x v="1"/>
    <s v="Travel_Frequently"/>
    <n v="1005"/>
    <x v="1"/>
    <n v="2"/>
    <n v="2"/>
    <s v="Life Sciences"/>
    <n v="8"/>
    <n v="4"/>
    <s v="Male"/>
    <n v="79"/>
    <n v="3"/>
    <n v="1"/>
    <x v="2"/>
    <n v="4"/>
    <s v="Single"/>
    <n v="3068"/>
    <n v="11864"/>
    <n v="0"/>
    <s v="No"/>
    <n v="13"/>
    <n v="3"/>
    <n v="3"/>
    <n v="0"/>
    <n v="8"/>
    <n v="2"/>
    <n v="2"/>
    <n v="7"/>
    <n v="7"/>
    <n v="3"/>
    <n v="6"/>
    <x v="1"/>
    <n v="27612"/>
    <x v="1"/>
    <n v="0"/>
  </r>
  <r>
    <n v="59"/>
    <x v="1"/>
    <s v="Travel_Rarely"/>
    <n v="1324"/>
    <x v="1"/>
    <n v="3"/>
    <n v="3"/>
    <s v="Medical"/>
    <n v="10"/>
    <n v="3"/>
    <s v="Female"/>
    <n v="81"/>
    <n v="4"/>
    <n v="1"/>
    <x v="2"/>
    <n v="1"/>
    <s v="Married"/>
    <n v="2670"/>
    <n v="9964"/>
    <n v="4"/>
    <s v="Yes"/>
    <n v="20"/>
    <n v="4"/>
    <n v="1"/>
    <n v="3"/>
    <n v="12"/>
    <n v="3"/>
    <n v="2"/>
    <n v="1"/>
    <n v="0"/>
    <n v="0"/>
    <n v="0"/>
    <x v="3"/>
    <n v="24030"/>
    <x v="2"/>
    <n v="0"/>
  </r>
  <r>
    <n v="30"/>
    <x v="1"/>
    <s v="Travel_Rarely"/>
    <n v="1358"/>
    <x v="1"/>
    <n v="24"/>
    <n v="1"/>
    <s v="Life Sciences"/>
    <n v="11"/>
    <n v="4"/>
    <s v="Male"/>
    <n v="67"/>
    <n v="3"/>
    <n v="1"/>
    <x v="2"/>
    <n v="3"/>
    <s v="Divorced"/>
    <n v="2693"/>
    <n v="13335"/>
    <n v="1"/>
    <s v="No"/>
    <n v="22"/>
    <n v="4"/>
    <n v="2"/>
    <n v="1"/>
    <n v="1"/>
    <n v="2"/>
    <n v="3"/>
    <n v="1"/>
    <n v="0"/>
    <n v="0"/>
    <n v="0"/>
    <x v="3"/>
    <n v="24237"/>
    <x v="1"/>
    <n v="0"/>
  </r>
  <r>
    <n v="38"/>
    <x v="1"/>
    <s v="Travel_Frequently"/>
    <n v="216"/>
    <x v="1"/>
    <n v="23"/>
    <n v="3"/>
    <s v="Life Sciences"/>
    <n v="12"/>
    <n v="4"/>
    <s v="Male"/>
    <n v="44"/>
    <n v="2"/>
    <n v="3"/>
    <x v="3"/>
    <n v="3"/>
    <s v="Single"/>
    <n v="9526"/>
    <n v="8787"/>
    <n v="0"/>
    <s v="No"/>
    <n v="21"/>
    <n v="4"/>
    <n v="2"/>
    <n v="0"/>
    <n v="10"/>
    <n v="2"/>
    <n v="3"/>
    <n v="9"/>
    <n v="7"/>
    <n v="1"/>
    <n v="8"/>
    <x v="1"/>
    <n v="85734"/>
    <x v="1"/>
    <n v="0"/>
  </r>
  <r>
    <n v="36"/>
    <x v="1"/>
    <s v="Travel_Rarely"/>
    <n v="1299"/>
    <x v="1"/>
    <n v="27"/>
    <n v="3"/>
    <s v="Medical"/>
    <n v="13"/>
    <n v="3"/>
    <s v="Male"/>
    <n v="94"/>
    <n v="3"/>
    <n v="2"/>
    <x v="4"/>
    <n v="3"/>
    <s v="Married"/>
    <n v="5237"/>
    <n v="16577"/>
    <n v="6"/>
    <s v="No"/>
    <n v="13"/>
    <n v="3"/>
    <n v="2"/>
    <n v="2"/>
    <n v="17"/>
    <n v="3"/>
    <n v="2"/>
    <n v="7"/>
    <n v="7"/>
    <n v="7"/>
    <n v="7"/>
    <x v="1"/>
    <n v="47133"/>
    <x v="1"/>
    <n v="0"/>
  </r>
  <r>
    <n v="35"/>
    <x v="1"/>
    <s v="Travel_Rarely"/>
    <n v="809"/>
    <x v="1"/>
    <n v="16"/>
    <n v="3"/>
    <s v="Medical"/>
    <n v="14"/>
    <n v="1"/>
    <s v="Male"/>
    <n v="84"/>
    <n v="4"/>
    <n v="1"/>
    <x v="2"/>
    <n v="2"/>
    <s v="Married"/>
    <n v="2426"/>
    <n v="16479"/>
    <n v="0"/>
    <s v="No"/>
    <n v="13"/>
    <n v="3"/>
    <n v="3"/>
    <n v="1"/>
    <n v="6"/>
    <n v="5"/>
    <n v="3"/>
    <n v="5"/>
    <n v="4"/>
    <n v="0"/>
    <n v="3"/>
    <x v="0"/>
    <n v="21834"/>
    <x v="0"/>
    <n v="0"/>
  </r>
  <r>
    <n v="29"/>
    <x v="1"/>
    <s v="Travel_Rarely"/>
    <n v="153"/>
    <x v="1"/>
    <n v="15"/>
    <n v="2"/>
    <s v="Life Sciences"/>
    <n v="15"/>
    <n v="4"/>
    <s v="Female"/>
    <n v="49"/>
    <n v="2"/>
    <n v="2"/>
    <x v="2"/>
    <n v="3"/>
    <s v="Single"/>
    <n v="4193"/>
    <n v="12682"/>
    <n v="0"/>
    <s v="Yes"/>
    <n v="12"/>
    <n v="3"/>
    <n v="4"/>
    <n v="0"/>
    <n v="10"/>
    <n v="3"/>
    <n v="3"/>
    <n v="9"/>
    <n v="5"/>
    <n v="0"/>
    <n v="8"/>
    <x v="1"/>
    <n v="37737"/>
    <x v="0"/>
    <n v="0"/>
  </r>
  <r>
    <n v="31"/>
    <x v="1"/>
    <s v="Travel_Rarely"/>
    <n v="670"/>
    <x v="1"/>
    <n v="26"/>
    <n v="1"/>
    <s v="Life Sciences"/>
    <n v="16"/>
    <n v="1"/>
    <s v="Male"/>
    <n v="31"/>
    <n v="3"/>
    <n v="1"/>
    <x v="1"/>
    <n v="3"/>
    <s v="Divorced"/>
    <n v="2911"/>
    <n v="15170"/>
    <n v="1"/>
    <s v="No"/>
    <n v="17"/>
    <n v="3"/>
    <n v="4"/>
    <n v="1"/>
    <n v="5"/>
    <n v="1"/>
    <n v="2"/>
    <n v="5"/>
    <n v="2"/>
    <n v="4"/>
    <n v="3"/>
    <x v="0"/>
    <n v="26199"/>
    <x v="1"/>
    <n v="0"/>
  </r>
  <r>
    <n v="34"/>
    <x v="1"/>
    <s v="Travel_Rarely"/>
    <n v="1346"/>
    <x v="1"/>
    <n v="19"/>
    <n v="2"/>
    <s v="Medical"/>
    <n v="18"/>
    <n v="2"/>
    <s v="Male"/>
    <n v="93"/>
    <n v="3"/>
    <n v="1"/>
    <x v="2"/>
    <n v="4"/>
    <s v="Divorced"/>
    <n v="2661"/>
    <n v="8758"/>
    <n v="0"/>
    <s v="No"/>
    <n v="11"/>
    <n v="3"/>
    <n v="3"/>
    <n v="1"/>
    <n v="3"/>
    <n v="2"/>
    <n v="3"/>
    <n v="2"/>
    <n v="2"/>
    <n v="1"/>
    <n v="2"/>
    <x v="3"/>
    <n v="23949"/>
    <x v="1"/>
    <n v="0"/>
  </r>
  <r>
    <n v="28"/>
    <x v="0"/>
    <s v="Travel_Rarely"/>
    <n v="103"/>
    <x v="1"/>
    <n v="24"/>
    <n v="3"/>
    <s v="Life Sciences"/>
    <n v="19"/>
    <n v="3"/>
    <s v="Male"/>
    <n v="50"/>
    <n v="2"/>
    <n v="1"/>
    <x v="2"/>
    <n v="3"/>
    <s v="Single"/>
    <n v="2028"/>
    <n v="12947"/>
    <n v="5"/>
    <s v="Yes"/>
    <n v="14"/>
    <n v="3"/>
    <n v="2"/>
    <n v="0"/>
    <n v="6"/>
    <n v="4"/>
    <n v="3"/>
    <n v="4"/>
    <n v="2"/>
    <n v="0"/>
    <n v="3"/>
    <x v="0"/>
    <n v="18252"/>
    <x v="0"/>
    <n v="18252"/>
  </r>
  <r>
    <n v="29"/>
    <x v="1"/>
    <s v="Travel_Rarely"/>
    <n v="1389"/>
    <x v="1"/>
    <n v="21"/>
    <n v="4"/>
    <s v="Life Sciences"/>
    <n v="20"/>
    <n v="2"/>
    <s v="Female"/>
    <n v="51"/>
    <n v="4"/>
    <n v="3"/>
    <x v="3"/>
    <n v="1"/>
    <s v="Divorced"/>
    <n v="9980"/>
    <n v="10195"/>
    <n v="1"/>
    <s v="No"/>
    <n v="11"/>
    <n v="3"/>
    <n v="3"/>
    <n v="1"/>
    <n v="10"/>
    <n v="1"/>
    <n v="3"/>
    <n v="10"/>
    <n v="9"/>
    <n v="8"/>
    <n v="8"/>
    <x v="1"/>
    <n v="89820"/>
    <x v="0"/>
    <n v="0"/>
  </r>
  <r>
    <n v="32"/>
    <x v="1"/>
    <s v="Travel_Rarely"/>
    <n v="334"/>
    <x v="1"/>
    <n v="5"/>
    <n v="2"/>
    <s v="Life Sciences"/>
    <n v="21"/>
    <n v="1"/>
    <s v="Male"/>
    <n v="80"/>
    <n v="4"/>
    <n v="1"/>
    <x v="1"/>
    <n v="2"/>
    <s v="Divorced"/>
    <n v="3298"/>
    <n v="15053"/>
    <n v="0"/>
    <s v="Yes"/>
    <n v="12"/>
    <n v="3"/>
    <n v="4"/>
    <n v="2"/>
    <n v="7"/>
    <n v="5"/>
    <n v="2"/>
    <n v="6"/>
    <n v="2"/>
    <n v="0"/>
    <n v="5"/>
    <x v="0"/>
    <n v="29682"/>
    <x v="0"/>
    <n v="0"/>
  </r>
  <r>
    <n v="22"/>
    <x v="1"/>
    <s v="Non-Travel"/>
    <n v="1123"/>
    <x v="1"/>
    <n v="16"/>
    <n v="2"/>
    <s v="Medical"/>
    <n v="22"/>
    <n v="4"/>
    <s v="Male"/>
    <n v="96"/>
    <n v="4"/>
    <n v="1"/>
    <x v="2"/>
    <n v="4"/>
    <s v="Divorced"/>
    <n v="2935"/>
    <n v="7324"/>
    <n v="1"/>
    <s v="Yes"/>
    <n v="13"/>
    <n v="3"/>
    <n v="2"/>
    <n v="2"/>
    <n v="1"/>
    <n v="2"/>
    <n v="2"/>
    <n v="1"/>
    <n v="0"/>
    <n v="0"/>
    <n v="0"/>
    <x v="3"/>
    <n v="26415"/>
    <x v="0"/>
    <n v="0"/>
  </r>
  <r>
    <n v="53"/>
    <x v="1"/>
    <s v="Travel_Rarely"/>
    <n v="1219"/>
    <x v="0"/>
    <n v="2"/>
    <n v="4"/>
    <s v="Life Sciences"/>
    <n v="23"/>
    <n v="1"/>
    <s v="Female"/>
    <n v="78"/>
    <n v="2"/>
    <n v="4"/>
    <x v="5"/>
    <n v="4"/>
    <s v="Married"/>
    <n v="15427"/>
    <n v="22021"/>
    <n v="2"/>
    <s v="No"/>
    <n v="16"/>
    <n v="3"/>
    <n v="3"/>
    <n v="0"/>
    <n v="31"/>
    <n v="3"/>
    <n v="3"/>
    <n v="25"/>
    <n v="8"/>
    <n v="3"/>
    <n v="7"/>
    <x v="1"/>
    <n v="138843"/>
    <x v="1"/>
    <n v="0"/>
  </r>
  <r>
    <n v="38"/>
    <x v="1"/>
    <s v="Travel_Rarely"/>
    <n v="371"/>
    <x v="1"/>
    <n v="2"/>
    <n v="3"/>
    <s v="Life Sciences"/>
    <n v="24"/>
    <n v="4"/>
    <s v="Male"/>
    <n v="45"/>
    <n v="3"/>
    <n v="1"/>
    <x v="1"/>
    <n v="4"/>
    <s v="Single"/>
    <n v="3944"/>
    <n v="4306"/>
    <n v="5"/>
    <s v="Yes"/>
    <n v="11"/>
    <n v="3"/>
    <n v="3"/>
    <n v="0"/>
    <n v="6"/>
    <n v="3"/>
    <n v="3"/>
    <n v="3"/>
    <n v="2"/>
    <n v="1"/>
    <n v="2"/>
    <x v="3"/>
    <n v="35496"/>
    <x v="0"/>
    <n v="0"/>
  </r>
  <r>
    <n v="24"/>
    <x v="1"/>
    <s v="Non-Travel"/>
    <n v="673"/>
    <x v="1"/>
    <n v="11"/>
    <n v="2"/>
    <s v="Other"/>
    <n v="26"/>
    <n v="1"/>
    <s v="Female"/>
    <n v="96"/>
    <n v="4"/>
    <n v="2"/>
    <x v="3"/>
    <n v="3"/>
    <s v="Divorced"/>
    <n v="4011"/>
    <n v="8232"/>
    <n v="0"/>
    <s v="No"/>
    <n v="18"/>
    <n v="3"/>
    <n v="4"/>
    <n v="1"/>
    <n v="5"/>
    <n v="5"/>
    <n v="2"/>
    <n v="4"/>
    <n v="2"/>
    <n v="1"/>
    <n v="3"/>
    <x v="0"/>
    <n v="36099"/>
    <x v="1"/>
    <n v="0"/>
  </r>
  <r>
    <n v="36"/>
    <x v="0"/>
    <s v="Travel_Rarely"/>
    <n v="1218"/>
    <x v="0"/>
    <n v="9"/>
    <n v="4"/>
    <s v="Life Sciences"/>
    <n v="27"/>
    <n v="3"/>
    <s v="Male"/>
    <n v="82"/>
    <n v="2"/>
    <n v="1"/>
    <x v="6"/>
    <n v="1"/>
    <s v="Single"/>
    <n v="3407"/>
    <n v="6986"/>
    <n v="7"/>
    <s v="No"/>
    <n v="23"/>
    <n v="4"/>
    <n v="2"/>
    <n v="0"/>
    <n v="10"/>
    <n v="4"/>
    <n v="3"/>
    <n v="5"/>
    <n v="3"/>
    <n v="0"/>
    <n v="3"/>
    <x v="0"/>
    <n v="30663"/>
    <x v="0"/>
    <n v="30663"/>
  </r>
  <r>
    <n v="34"/>
    <x v="1"/>
    <s v="Travel_Rarely"/>
    <n v="419"/>
    <x v="1"/>
    <n v="7"/>
    <n v="4"/>
    <s v="Life Sciences"/>
    <n v="28"/>
    <n v="1"/>
    <s v="Female"/>
    <n v="53"/>
    <n v="3"/>
    <n v="3"/>
    <x v="7"/>
    <n v="2"/>
    <s v="Single"/>
    <n v="11994"/>
    <n v="21293"/>
    <n v="0"/>
    <s v="No"/>
    <n v="11"/>
    <n v="3"/>
    <n v="3"/>
    <n v="0"/>
    <n v="13"/>
    <n v="4"/>
    <n v="3"/>
    <n v="12"/>
    <n v="6"/>
    <n v="2"/>
    <n v="11"/>
    <x v="1"/>
    <n v="107946"/>
    <x v="0"/>
    <n v="0"/>
  </r>
  <r>
    <n v="21"/>
    <x v="1"/>
    <s v="Travel_Rarely"/>
    <n v="391"/>
    <x v="1"/>
    <n v="15"/>
    <n v="2"/>
    <s v="Life Sciences"/>
    <n v="30"/>
    <n v="3"/>
    <s v="Male"/>
    <n v="96"/>
    <n v="3"/>
    <n v="1"/>
    <x v="1"/>
    <n v="4"/>
    <s v="Single"/>
    <n v="1232"/>
    <n v="19281"/>
    <n v="1"/>
    <s v="No"/>
    <n v="14"/>
    <n v="3"/>
    <n v="4"/>
    <n v="0"/>
    <n v="0"/>
    <n v="6"/>
    <n v="3"/>
    <n v="0"/>
    <n v="0"/>
    <n v="0"/>
    <n v="0"/>
    <x v="2"/>
    <n v="11088"/>
    <x v="1"/>
    <n v="0"/>
  </r>
  <r>
    <n v="34"/>
    <x v="0"/>
    <s v="Travel_Rarely"/>
    <n v="699"/>
    <x v="1"/>
    <n v="6"/>
    <n v="1"/>
    <s v="Medical"/>
    <n v="31"/>
    <n v="2"/>
    <s v="Male"/>
    <n v="83"/>
    <n v="3"/>
    <n v="1"/>
    <x v="1"/>
    <n v="1"/>
    <s v="Single"/>
    <n v="2960"/>
    <n v="17102"/>
    <n v="2"/>
    <s v="No"/>
    <n v="11"/>
    <n v="3"/>
    <n v="3"/>
    <n v="0"/>
    <n v="8"/>
    <n v="2"/>
    <n v="3"/>
    <n v="4"/>
    <n v="2"/>
    <n v="1"/>
    <n v="3"/>
    <x v="0"/>
    <n v="26640"/>
    <x v="0"/>
    <n v="26640"/>
  </r>
  <r>
    <n v="53"/>
    <x v="1"/>
    <s v="Travel_Rarely"/>
    <n v="1282"/>
    <x v="1"/>
    <n v="5"/>
    <n v="3"/>
    <s v="Other"/>
    <n v="32"/>
    <n v="3"/>
    <s v="Female"/>
    <n v="58"/>
    <n v="3"/>
    <n v="5"/>
    <x v="5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  <x v="1"/>
    <n v="171846"/>
    <x v="1"/>
    <n v="0"/>
  </r>
  <r>
    <n v="32"/>
    <x v="0"/>
    <s v="Travel_Frequently"/>
    <n v="1125"/>
    <x v="1"/>
    <n v="16"/>
    <n v="1"/>
    <s v="Life Sciences"/>
    <n v="33"/>
    <n v="2"/>
    <s v="Female"/>
    <n v="72"/>
    <n v="1"/>
    <n v="1"/>
    <x v="1"/>
    <n v="1"/>
    <s v="Single"/>
    <n v="3919"/>
    <n v="4681"/>
    <n v="1"/>
    <s v="Yes"/>
    <n v="22"/>
    <n v="4"/>
    <n v="2"/>
    <n v="0"/>
    <n v="10"/>
    <n v="5"/>
    <n v="3"/>
    <n v="10"/>
    <n v="2"/>
    <n v="6"/>
    <n v="7"/>
    <x v="1"/>
    <n v="35271"/>
    <x v="0"/>
    <n v="35271"/>
  </r>
  <r>
    <n v="42"/>
    <x v="1"/>
    <s v="Travel_Rarely"/>
    <n v="691"/>
    <x v="0"/>
    <n v="8"/>
    <n v="4"/>
    <s v="Marketing"/>
    <n v="35"/>
    <n v="3"/>
    <s v="Male"/>
    <n v="48"/>
    <n v="3"/>
    <n v="2"/>
    <x v="0"/>
    <n v="2"/>
    <s v="Married"/>
    <n v="6825"/>
    <n v="21173"/>
    <n v="0"/>
    <s v="No"/>
    <n v="11"/>
    <n v="3"/>
    <n v="4"/>
    <n v="1"/>
    <n v="10"/>
    <n v="2"/>
    <n v="3"/>
    <n v="9"/>
    <n v="7"/>
    <n v="4"/>
    <n v="2"/>
    <x v="1"/>
    <n v="61425"/>
    <x v="0"/>
    <n v="0"/>
  </r>
  <r>
    <n v="44"/>
    <x v="1"/>
    <s v="Travel_Rarely"/>
    <n v="477"/>
    <x v="1"/>
    <n v="7"/>
    <n v="4"/>
    <s v="Medical"/>
    <n v="36"/>
    <n v="1"/>
    <s v="Female"/>
    <n v="42"/>
    <n v="2"/>
    <n v="3"/>
    <x v="4"/>
    <n v="4"/>
    <s v="Married"/>
    <n v="10248"/>
    <n v="2094"/>
    <n v="3"/>
    <s v="No"/>
    <n v="14"/>
    <n v="3"/>
    <n v="4"/>
    <n v="1"/>
    <n v="24"/>
    <n v="4"/>
    <n v="3"/>
    <n v="22"/>
    <n v="6"/>
    <n v="5"/>
    <n v="17"/>
    <x v="1"/>
    <n v="92232"/>
    <x v="1"/>
    <n v="0"/>
  </r>
  <r>
    <n v="46"/>
    <x v="1"/>
    <s v="Travel_Rarely"/>
    <n v="705"/>
    <x v="0"/>
    <n v="2"/>
    <n v="4"/>
    <s v="Marketing"/>
    <n v="38"/>
    <n v="2"/>
    <s v="Female"/>
    <n v="83"/>
    <n v="3"/>
    <n v="5"/>
    <x v="5"/>
    <n v="1"/>
    <s v="Single"/>
    <n v="18947"/>
    <n v="22822"/>
    <n v="3"/>
    <s v="No"/>
    <n v="12"/>
    <n v="3"/>
    <n v="4"/>
    <n v="0"/>
    <n v="22"/>
    <n v="2"/>
    <n v="2"/>
    <n v="2"/>
    <n v="2"/>
    <n v="2"/>
    <n v="1"/>
    <x v="3"/>
    <n v="170523"/>
    <x v="0"/>
    <n v="0"/>
  </r>
  <r>
    <n v="33"/>
    <x v="1"/>
    <s v="Travel_Rarely"/>
    <n v="924"/>
    <x v="1"/>
    <n v="2"/>
    <n v="3"/>
    <s v="Medical"/>
    <n v="39"/>
    <n v="3"/>
    <s v="Male"/>
    <n v="78"/>
    <n v="3"/>
    <n v="1"/>
    <x v="2"/>
    <n v="4"/>
    <s v="Single"/>
    <n v="2496"/>
    <n v="6670"/>
    <n v="4"/>
    <s v="No"/>
    <n v="11"/>
    <n v="3"/>
    <n v="4"/>
    <n v="0"/>
    <n v="7"/>
    <n v="3"/>
    <n v="3"/>
    <n v="1"/>
    <n v="1"/>
    <n v="0"/>
    <n v="0"/>
    <x v="3"/>
    <n v="22464"/>
    <x v="1"/>
    <n v="0"/>
  </r>
  <r>
    <n v="44"/>
    <x v="1"/>
    <s v="Travel_Rarely"/>
    <n v="1459"/>
    <x v="1"/>
    <n v="10"/>
    <n v="4"/>
    <s v="Other"/>
    <n v="40"/>
    <n v="4"/>
    <s v="Male"/>
    <n v="41"/>
    <n v="3"/>
    <n v="2"/>
    <x v="4"/>
    <n v="4"/>
    <s v="Married"/>
    <n v="6465"/>
    <n v="19121"/>
    <n v="2"/>
    <s v="Yes"/>
    <n v="13"/>
    <n v="3"/>
    <n v="4"/>
    <n v="0"/>
    <n v="9"/>
    <n v="5"/>
    <n v="4"/>
    <n v="4"/>
    <n v="2"/>
    <n v="1"/>
    <n v="3"/>
    <x v="0"/>
    <n v="58185"/>
    <x v="0"/>
    <n v="0"/>
  </r>
  <r>
    <n v="30"/>
    <x v="1"/>
    <s v="Travel_Rarely"/>
    <n v="125"/>
    <x v="1"/>
    <n v="9"/>
    <n v="2"/>
    <s v="Medical"/>
    <n v="41"/>
    <n v="4"/>
    <s v="Male"/>
    <n v="83"/>
    <n v="2"/>
    <n v="1"/>
    <x v="2"/>
    <n v="3"/>
    <s v="Single"/>
    <n v="2206"/>
    <n v="16117"/>
    <n v="1"/>
    <s v="No"/>
    <n v="13"/>
    <n v="3"/>
    <n v="1"/>
    <n v="0"/>
    <n v="10"/>
    <n v="5"/>
    <n v="3"/>
    <n v="10"/>
    <n v="0"/>
    <n v="1"/>
    <n v="8"/>
    <x v="1"/>
    <n v="19854"/>
    <x v="1"/>
    <n v="0"/>
  </r>
  <r>
    <n v="39"/>
    <x v="0"/>
    <s v="Travel_Rarely"/>
    <n v="895"/>
    <x v="0"/>
    <n v="5"/>
    <n v="3"/>
    <s v="Technical Degree"/>
    <n v="42"/>
    <n v="4"/>
    <s v="Male"/>
    <n v="56"/>
    <n v="3"/>
    <n v="2"/>
    <x v="6"/>
    <n v="4"/>
    <s v="Married"/>
    <n v="2086"/>
    <n v="3335"/>
    <n v="3"/>
    <s v="No"/>
    <n v="14"/>
    <n v="3"/>
    <n v="3"/>
    <n v="1"/>
    <n v="19"/>
    <n v="6"/>
    <n v="4"/>
    <n v="1"/>
    <n v="0"/>
    <n v="0"/>
    <n v="0"/>
    <x v="3"/>
    <n v="18774"/>
    <x v="1"/>
    <n v="18774"/>
  </r>
  <r>
    <n v="24"/>
    <x v="0"/>
    <s v="Travel_Rarely"/>
    <n v="813"/>
    <x v="1"/>
    <n v="1"/>
    <n v="3"/>
    <s v="Medical"/>
    <n v="45"/>
    <n v="2"/>
    <s v="Male"/>
    <n v="61"/>
    <n v="3"/>
    <n v="1"/>
    <x v="1"/>
    <n v="4"/>
    <s v="Married"/>
    <n v="2293"/>
    <n v="3020"/>
    <n v="2"/>
    <s v="Yes"/>
    <n v="16"/>
    <n v="3"/>
    <n v="1"/>
    <n v="1"/>
    <n v="6"/>
    <n v="2"/>
    <n v="2"/>
    <n v="2"/>
    <n v="0"/>
    <n v="2"/>
    <n v="0"/>
    <x v="3"/>
    <n v="20637"/>
    <x v="0"/>
    <n v="20637"/>
  </r>
  <r>
    <n v="43"/>
    <x v="1"/>
    <s v="Travel_Rarely"/>
    <n v="1273"/>
    <x v="1"/>
    <n v="2"/>
    <n v="2"/>
    <s v="Medical"/>
    <n v="46"/>
    <n v="4"/>
    <s v="Female"/>
    <n v="72"/>
    <n v="4"/>
    <n v="1"/>
    <x v="1"/>
    <n v="3"/>
    <s v="Divorced"/>
    <n v="2645"/>
    <n v="21923"/>
    <n v="1"/>
    <s v="No"/>
    <n v="12"/>
    <n v="3"/>
    <n v="4"/>
    <n v="2"/>
    <n v="6"/>
    <n v="3"/>
    <n v="2"/>
    <n v="5"/>
    <n v="3"/>
    <n v="1"/>
    <n v="4"/>
    <x v="0"/>
    <n v="23805"/>
    <x v="1"/>
    <n v="0"/>
  </r>
  <r>
    <n v="50"/>
    <x v="0"/>
    <s v="Travel_Rarely"/>
    <n v="869"/>
    <x v="0"/>
    <n v="3"/>
    <n v="2"/>
    <s v="Marketing"/>
    <n v="47"/>
    <n v="1"/>
    <s v="Male"/>
    <n v="86"/>
    <n v="2"/>
    <n v="1"/>
    <x v="6"/>
    <n v="3"/>
    <s v="Married"/>
    <n v="2683"/>
    <n v="3810"/>
    <n v="1"/>
    <s v="Yes"/>
    <n v="14"/>
    <n v="3"/>
    <n v="3"/>
    <n v="0"/>
    <n v="3"/>
    <n v="2"/>
    <n v="3"/>
    <n v="3"/>
    <n v="2"/>
    <n v="0"/>
    <n v="2"/>
    <x v="3"/>
    <n v="24147"/>
    <x v="0"/>
    <n v="24147"/>
  </r>
  <r>
    <n v="35"/>
    <x v="1"/>
    <s v="Travel_Rarely"/>
    <n v="890"/>
    <x v="0"/>
    <n v="2"/>
    <n v="3"/>
    <s v="Marketing"/>
    <n v="49"/>
    <n v="4"/>
    <s v="Female"/>
    <n v="97"/>
    <n v="3"/>
    <n v="1"/>
    <x v="6"/>
    <n v="4"/>
    <s v="Married"/>
    <n v="2014"/>
    <n v="9687"/>
    <n v="1"/>
    <s v="No"/>
    <n v="13"/>
    <n v="3"/>
    <n v="1"/>
    <n v="0"/>
    <n v="2"/>
    <n v="3"/>
    <n v="3"/>
    <n v="2"/>
    <n v="2"/>
    <n v="2"/>
    <n v="2"/>
    <x v="3"/>
    <n v="18126"/>
    <x v="1"/>
    <n v="0"/>
  </r>
  <r>
    <n v="36"/>
    <x v="1"/>
    <s v="Travel_Rarely"/>
    <n v="852"/>
    <x v="1"/>
    <n v="5"/>
    <n v="4"/>
    <s v="Life Sciences"/>
    <n v="51"/>
    <n v="2"/>
    <s v="Female"/>
    <n v="82"/>
    <n v="2"/>
    <n v="1"/>
    <x v="1"/>
    <n v="1"/>
    <s v="Married"/>
    <n v="3419"/>
    <n v="13072"/>
    <n v="9"/>
    <s v="Yes"/>
    <n v="14"/>
    <n v="3"/>
    <n v="4"/>
    <n v="1"/>
    <n v="6"/>
    <n v="3"/>
    <n v="4"/>
    <n v="1"/>
    <n v="1"/>
    <n v="0"/>
    <n v="0"/>
    <x v="3"/>
    <n v="30771"/>
    <x v="2"/>
    <n v="0"/>
  </r>
  <r>
    <n v="33"/>
    <x v="1"/>
    <s v="Travel_Frequently"/>
    <n v="1141"/>
    <x v="0"/>
    <n v="1"/>
    <n v="3"/>
    <s v="Life Sciences"/>
    <n v="52"/>
    <n v="3"/>
    <s v="Female"/>
    <n v="42"/>
    <n v="4"/>
    <n v="2"/>
    <x v="0"/>
    <n v="1"/>
    <s v="Married"/>
    <n v="5376"/>
    <n v="3193"/>
    <n v="2"/>
    <s v="No"/>
    <n v="19"/>
    <n v="3"/>
    <n v="1"/>
    <n v="2"/>
    <n v="10"/>
    <n v="3"/>
    <n v="3"/>
    <n v="5"/>
    <n v="3"/>
    <n v="1"/>
    <n v="3"/>
    <x v="0"/>
    <n v="48384"/>
    <x v="0"/>
    <n v="0"/>
  </r>
  <r>
    <n v="35"/>
    <x v="1"/>
    <s v="Travel_Rarely"/>
    <n v="464"/>
    <x v="1"/>
    <n v="4"/>
    <n v="2"/>
    <s v="Other"/>
    <n v="53"/>
    <n v="3"/>
    <s v="Male"/>
    <n v="75"/>
    <n v="3"/>
    <n v="1"/>
    <x v="2"/>
    <n v="4"/>
    <s v="Divorced"/>
    <n v="1951"/>
    <n v="10910"/>
    <n v="1"/>
    <s v="No"/>
    <n v="12"/>
    <n v="3"/>
    <n v="3"/>
    <n v="1"/>
    <n v="1"/>
    <n v="3"/>
    <n v="3"/>
    <n v="1"/>
    <n v="0"/>
    <n v="0"/>
    <n v="0"/>
    <x v="3"/>
    <n v="17559"/>
    <x v="1"/>
    <n v="0"/>
  </r>
  <r>
    <n v="27"/>
    <x v="1"/>
    <s v="Travel_Rarely"/>
    <n v="1240"/>
    <x v="1"/>
    <n v="2"/>
    <n v="4"/>
    <s v="Life Sciences"/>
    <n v="54"/>
    <n v="4"/>
    <s v="Female"/>
    <n v="33"/>
    <n v="3"/>
    <n v="1"/>
    <x v="2"/>
    <n v="1"/>
    <s v="Divorced"/>
    <n v="2341"/>
    <n v="19715"/>
    <n v="1"/>
    <s v="No"/>
    <n v="13"/>
    <n v="3"/>
    <n v="4"/>
    <n v="1"/>
    <n v="1"/>
    <n v="6"/>
    <n v="3"/>
    <n v="1"/>
    <n v="0"/>
    <n v="0"/>
    <n v="0"/>
    <x v="3"/>
    <n v="21069"/>
    <x v="0"/>
    <n v="0"/>
  </r>
  <r>
    <n v="26"/>
    <x v="0"/>
    <s v="Travel_Rarely"/>
    <n v="1357"/>
    <x v="1"/>
    <n v="25"/>
    <n v="3"/>
    <s v="Life Sciences"/>
    <n v="55"/>
    <n v="1"/>
    <s v="Male"/>
    <n v="48"/>
    <n v="1"/>
    <n v="1"/>
    <x v="2"/>
    <n v="3"/>
    <s v="Single"/>
    <n v="2293"/>
    <n v="10558"/>
    <n v="1"/>
    <s v="No"/>
    <n v="12"/>
    <n v="3"/>
    <n v="3"/>
    <n v="0"/>
    <n v="1"/>
    <n v="2"/>
    <n v="2"/>
    <n v="1"/>
    <n v="0"/>
    <n v="0"/>
    <n v="1"/>
    <x v="3"/>
    <n v="20637"/>
    <x v="1"/>
    <n v="20637"/>
  </r>
  <r>
    <n v="27"/>
    <x v="1"/>
    <s v="Travel_Frequently"/>
    <n v="994"/>
    <x v="0"/>
    <n v="8"/>
    <n v="3"/>
    <s v="Life Sciences"/>
    <n v="56"/>
    <n v="4"/>
    <s v="Male"/>
    <n v="37"/>
    <n v="3"/>
    <n v="3"/>
    <x v="0"/>
    <n v="3"/>
    <s v="Single"/>
    <n v="8726"/>
    <n v="2975"/>
    <n v="1"/>
    <s v="No"/>
    <n v="15"/>
    <n v="3"/>
    <n v="4"/>
    <n v="0"/>
    <n v="9"/>
    <n v="0"/>
    <n v="3"/>
    <n v="9"/>
    <n v="8"/>
    <n v="1"/>
    <n v="7"/>
    <x v="1"/>
    <n v="78534"/>
    <x v="1"/>
    <n v="0"/>
  </r>
  <r>
    <n v="30"/>
    <x v="1"/>
    <s v="Travel_Frequently"/>
    <n v="721"/>
    <x v="1"/>
    <n v="1"/>
    <n v="2"/>
    <s v="Medical"/>
    <n v="57"/>
    <n v="3"/>
    <s v="Female"/>
    <n v="58"/>
    <n v="3"/>
    <n v="2"/>
    <x v="2"/>
    <n v="4"/>
    <s v="Single"/>
    <n v="4011"/>
    <n v="10781"/>
    <n v="1"/>
    <s v="No"/>
    <n v="23"/>
    <n v="4"/>
    <n v="4"/>
    <n v="0"/>
    <n v="12"/>
    <n v="2"/>
    <n v="3"/>
    <n v="12"/>
    <n v="8"/>
    <n v="3"/>
    <n v="7"/>
    <x v="1"/>
    <n v="36099"/>
    <x v="1"/>
    <n v="0"/>
  </r>
  <r>
    <n v="41"/>
    <x v="0"/>
    <s v="Travel_Rarely"/>
    <n v="1360"/>
    <x v="1"/>
    <n v="12"/>
    <n v="3"/>
    <s v="Technical Degree"/>
    <n v="58"/>
    <n v="2"/>
    <s v="Female"/>
    <n v="49"/>
    <n v="3"/>
    <n v="5"/>
    <x v="7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  <x v="1"/>
    <n v="175905"/>
    <x v="1"/>
    <n v="175905"/>
  </r>
  <r>
    <n v="34"/>
    <x v="1"/>
    <s v="Non-Travel"/>
    <n v="1065"/>
    <x v="0"/>
    <n v="23"/>
    <n v="4"/>
    <s v="Marketing"/>
    <n v="60"/>
    <n v="2"/>
    <s v="Male"/>
    <n v="72"/>
    <n v="3"/>
    <n v="2"/>
    <x v="0"/>
    <n v="3"/>
    <s v="Single"/>
    <n v="4568"/>
    <n v="10034"/>
    <n v="0"/>
    <s v="No"/>
    <n v="20"/>
    <n v="4"/>
    <n v="3"/>
    <n v="0"/>
    <n v="10"/>
    <n v="2"/>
    <n v="3"/>
    <n v="9"/>
    <n v="5"/>
    <n v="8"/>
    <n v="7"/>
    <x v="1"/>
    <n v="41112"/>
    <x v="1"/>
    <n v="0"/>
  </r>
  <r>
    <n v="37"/>
    <x v="1"/>
    <s v="Travel_Rarely"/>
    <n v="408"/>
    <x v="1"/>
    <n v="19"/>
    <n v="2"/>
    <s v="Life Sciences"/>
    <n v="61"/>
    <n v="2"/>
    <s v="Male"/>
    <n v="73"/>
    <n v="3"/>
    <n v="1"/>
    <x v="1"/>
    <n v="2"/>
    <s v="Married"/>
    <n v="3022"/>
    <n v="10227"/>
    <n v="4"/>
    <s v="No"/>
    <n v="21"/>
    <n v="4"/>
    <n v="1"/>
    <n v="0"/>
    <n v="8"/>
    <n v="1"/>
    <n v="3"/>
    <n v="1"/>
    <n v="0"/>
    <n v="0"/>
    <n v="0"/>
    <x v="3"/>
    <n v="27198"/>
    <x v="0"/>
    <n v="0"/>
  </r>
  <r>
    <n v="46"/>
    <x v="1"/>
    <s v="Travel_Frequently"/>
    <n v="1211"/>
    <x v="0"/>
    <n v="5"/>
    <n v="4"/>
    <s v="Marketing"/>
    <n v="62"/>
    <n v="1"/>
    <s v="Male"/>
    <n v="98"/>
    <n v="3"/>
    <n v="2"/>
    <x v="0"/>
    <n v="4"/>
    <s v="Single"/>
    <n v="5772"/>
    <n v="20445"/>
    <n v="4"/>
    <s v="Yes"/>
    <n v="21"/>
    <n v="4"/>
    <n v="3"/>
    <n v="0"/>
    <n v="14"/>
    <n v="4"/>
    <n v="3"/>
    <n v="9"/>
    <n v="6"/>
    <n v="0"/>
    <n v="8"/>
    <x v="1"/>
    <n v="51948"/>
    <x v="0"/>
    <n v="0"/>
  </r>
  <r>
    <n v="35"/>
    <x v="1"/>
    <s v="Travel_Rarely"/>
    <n v="1229"/>
    <x v="1"/>
    <n v="8"/>
    <n v="1"/>
    <s v="Life Sciences"/>
    <n v="63"/>
    <n v="4"/>
    <s v="Male"/>
    <n v="36"/>
    <n v="4"/>
    <n v="1"/>
    <x v="2"/>
    <n v="4"/>
    <s v="Married"/>
    <n v="2269"/>
    <n v="4892"/>
    <n v="1"/>
    <s v="No"/>
    <n v="19"/>
    <n v="3"/>
    <n v="4"/>
    <n v="0"/>
    <n v="1"/>
    <n v="2"/>
    <n v="3"/>
    <n v="1"/>
    <n v="0"/>
    <n v="0"/>
    <n v="1"/>
    <x v="3"/>
    <n v="20421"/>
    <x v="1"/>
    <n v="0"/>
  </r>
  <r>
    <n v="48"/>
    <x v="0"/>
    <s v="Travel_Rarely"/>
    <n v="626"/>
    <x v="1"/>
    <n v="1"/>
    <n v="2"/>
    <s v="Life Sciences"/>
    <n v="64"/>
    <n v="1"/>
    <s v="Male"/>
    <n v="98"/>
    <n v="2"/>
    <n v="3"/>
    <x v="2"/>
    <n v="3"/>
    <s v="Single"/>
    <n v="5381"/>
    <n v="19294"/>
    <n v="9"/>
    <s v="Yes"/>
    <n v="13"/>
    <n v="3"/>
    <n v="4"/>
    <n v="0"/>
    <n v="23"/>
    <n v="2"/>
    <n v="3"/>
    <n v="1"/>
    <n v="0"/>
    <n v="0"/>
    <n v="0"/>
    <x v="3"/>
    <n v="48429"/>
    <x v="0"/>
    <n v="48429"/>
  </r>
  <r>
    <n v="28"/>
    <x v="0"/>
    <s v="Travel_Rarely"/>
    <n v="1434"/>
    <x v="1"/>
    <n v="5"/>
    <n v="4"/>
    <s v="Technical Degree"/>
    <n v="65"/>
    <n v="3"/>
    <s v="Male"/>
    <n v="50"/>
    <n v="3"/>
    <n v="1"/>
    <x v="2"/>
    <n v="3"/>
    <s v="Single"/>
    <n v="3441"/>
    <n v="11179"/>
    <n v="1"/>
    <s v="Yes"/>
    <n v="13"/>
    <n v="3"/>
    <n v="3"/>
    <n v="0"/>
    <n v="2"/>
    <n v="3"/>
    <n v="2"/>
    <n v="2"/>
    <n v="2"/>
    <n v="2"/>
    <n v="2"/>
    <x v="3"/>
    <n v="30969"/>
    <x v="0"/>
    <n v="30969"/>
  </r>
  <r>
    <n v="44"/>
    <x v="1"/>
    <s v="Travel_Rarely"/>
    <n v="1488"/>
    <x v="0"/>
    <n v="1"/>
    <n v="5"/>
    <s v="Marketing"/>
    <n v="68"/>
    <n v="2"/>
    <s v="Female"/>
    <n v="75"/>
    <n v="3"/>
    <n v="2"/>
    <x v="0"/>
    <n v="1"/>
    <s v="Divorced"/>
    <n v="5454"/>
    <n v="4009"/>
    <n v="5"/>
    <s v="Yes"/>
    <n v="21"/>
    <n v="4"/>
    <n v="3"/>
    <n v="1"/>
    <n v="9"/>
    <n v="2"/>
    <n v="2"/>
    <n v="4"/>
    <n v="3"/>
    <n v="1"/>
    <n v="3"/>
    <x v="0"/>
    <n v="49086"/>
    <x v="0"/>
    <n v="0"/>
  </r>
  <r>
    <n v="35"/>
    <x v="1"/>
    <s v="Non-Travel"/>
    <n v="1097"/>
    <x v="1"/>
    <n v="11"/>
    <n v="2"/>
    <s v="Medical"/>
    <n v="70"/>
    <n v="3"/>
    <s v="Male"/>
    <n v="79"/>
    <n v="2"/>
    <n v="3"/>
    <x v="4"/>
    <n v="1"/>
    <s v="Married"/>
    <n v="9884"/>
    <n v="8302"/>
    <n v="2"/>
    <s v="Yes"/>
    <n v="13"/>
    <n v="3"/>
    <n v="3"/>
    <n v="1"/>
    <n v="10"/>
    <n v="3"/>
    <n v="3"/>
    <n v="4"/>
    <n v="0"/>
    <n v="2"/>
    <n v="3"/>
    <x v="0"/>
    <n v="88956"/>
    <x v="0"/>
    <n v="0"/>
  </r>
  <r>
    <n v="26"/>
    <x v="1"/>
    <s v="Travel_Rarely"/>
    <n v="1443"/>
    <x v="0"/>
    <n v="23"/>
    <n v="3"/>
    <s v="Marketing"/>
    <n v="72"/>
    <n v="3"/>
    <s v="Female"/>
    <n v="47"/>
    <n v="2"/>
    <n v="2"/>
    <x v="0"/>
    <n v="4"/>
    <s v="Married"/>
    <n v="4157"/>
    <n v="21436"/>
    <n v="7"/>
    <s v="Yes"/>
    <n v="19"/>
    <n v="3"/>
    <n v="3"/>
    <n v="1"/>
    <n v="5"/>
    <n v="2"/>
    <n v="2"/>
    <n v="2"/>
    <n v="2"/>
    <n v="0"/>
    <n v="0"/>
    <x v="3"/>
    <n v="37413"/>
    <x v="0"/>
    <n v="0"/>
  </r>
  <r>
    <n v="33"/>
    <x v="1"/>
    <s v="Travel_Frequently"/>
    <n v="515"/>
    <x v="1"/>
    <n v="1"/>
    <n v="2"/>
    <s v="Life Sciences"/>
    <n v="73"/>
    <n v="1"/>
    <s v="Female"/>
    <n v="98"/>
    <n v="3"/>
    <n v="3"/>
    <x v="7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  <x v="1"/>
    <n v="121122"/>
    <x v="0"/>
    <n v="0"/>
  </r>
  <r>
    <n v="35"/>
    <x v="1"/>
    <s v="Travel_Frequently"/>
    <n v="853"/>
    <x v="0"/>
    <n v="18"/>
    <n v="5"/>
    <s v="Life Sciences"/>
    <n v="74"/>
    <n v="2"/>
    <s v="Male"/>
    <n v="71"/>
    <n v="3"/>
    <n v="3"/>
    <x v="0"/>
    <n v="1"/>
    <s v="Married"/>
    <n v="9069"/>
    <n v="11031"/>
    <n v="1"/>
    <s v="No"/>
    <n v="22"/>
    <n v="4"/>
    <n v="4"/>
    <n v="1"/>
    <n v="9"/>
    <n v="3"/>
    <n v="2"/>
    <n v="9"/>
    <n v="8"/>
    <n v="1"/>
    <n v="8"/>
    <x v="1"/>
    <n v="81621"/>
    <x v="0"/>
    <n v="0"/>
  </r>
  <r>
    <n v="35"/>
    <x v="1"/>
    <s v="Travel_Rarely"/>
    <n v="1142"/>
    <x v="1"/>
    <n v="23"/>
    <n v="4"/>
    <s v="Medical"/>
    <n v="75"/>
    <n v="3"/>
    <s v="Female"/>
    <n v="30"/>
    <n v="3"/>
    <n v="1"/>
    <x v="2"/>
    <n v="1"/>
    <s v="Married"/>
    <n v="4014"/>
    <n v="16002"/>
    <n v="3"/>
    <s v="Yes"/>
    <n v="15"/>
    <n v="3"/>
    <n v="3"/>
    <n v="1"/>
    <n v="4"/>
    <n v="3"/>
    <n v="3"/>
    <n v="2"/>
    <n v="2"/>
    <n v="2"/>
    <n v="2"/>
    <x v="3"/>
    <n v="36126"/>
    <x v="2"/>
    <n v="0"/>
  </r>
  <r>
    <n v="31"/>
    <x v="1"/>
    <s v="Travel_Rarely"/>
    <n v="655"/>
    <x v="1"/>
    <n v="7"/>
    <n v="4"/>
    <s v="Life Sciences"/>
    <n v="76"/>
    <n v="4"/>
    <s v="Male"/>
    <n v="48"/>
    <n v="3"/>
    <n v="2"/>
    <x v="2"/>
    <n v="4"/>
    <s v="Divorced"/>
    <n v="5915"/>
    <n v="9528"/>
    <n v="3"/>
    <s v="No"/>
    <n v="22"/>
    <n v="4"/>
    <n v="4"/>
    <n v="1"/>
    <n v="10"/>
    <n v="3"/>
    <n v="2"/>
    <n v="7"/>
    <n v="7"/>
    <n v="1"/>
    <n v="7"/>
    <x v="1"/>
    <n v="53235"/>
    <x v="1"/>
    <n v="0"/>
  </r>
  <r>
    <n v="37"/>
    <x v="1"/>
    <s v="Travel_Rarely"/>
    <n v="1115"/>
    <x v="1"/>
    <n v="1"/>
    <n v="4"/>
    <s v="Life Sciences"/>
    <n v="77"/>
    <n v="1"/>
    <s v="Male"/>
    <n v="51"/>
    <n v="2"/>
    <n v="2"/>
    <x v="3"/>
    <n v="3"/>
    <s v="Divorced"/>
    <n v="5993"/>
    <n v="2689"/>
    <n v="1"/>
    <s v="No"/>
    <n v="18"/>
    <n v="3"/>
    <n v="3"/>
    <n v="1"/>
    <n v="7"/>
    <n v="2"/>
    <n v="4"/>
    <n v="7"/>
    <n v="5"/>
    <n v="0"/>
    <n v="7"/>
    <x v="1"/>
    <n v="53937"/>
    <x v="1"/>
    <n v="0"/>
  </r>
  <r>
    <n v="32"/>
    <x v="1"/>
    <s v="Travel_Rarely"/>
    <n v="427"/>
    <x v="1"/>
    <n v="1"/>
    <n v="3"/>
    <s v="Medical"/>
    <n v="78"/>
    <n v="1"/>
    <s v="Male"/>
    <n v="33"/>
    <n v="3"/>
    <n v="2"/>
    <x v="3"/>
    <n v="4"/>
    <s v="Married"/>
    <n v="6162"/>
    <n v="10877"/>
    <n v="1"/>
    <s v="Yes"/>
    <n v="22"/>
    <n v="4"/>
    <n v="2"/>
    <n v="1"/>
    <n v="9"/>
    <n v="3"/>
    <n v="3"/>
    <n v="9"/>
    <n v="8"/>
    <n v="7"/>
    <n v="8"/>
    <x v="1"/>
    <n v="55458"/>
    <x v="0"/>
    <n v="0"/>
  </r>
  <r>
    <n v="38"/>
    <x v="1"/>
    <s v="Travel_Frequently"/>
    <n v="653"/>
    <x v="1"/>
    <n v="29"/>
    <n v="5"/>
    <s v="Life Sciences"/>
    <n v="79"/>
    <n v="4"/>
    <s v="Female"/>
    <n v="50"/>
    <n v="3"/>
    <n v="2"/>
    <x v="2"/>
    <n v="4"/>
    <s v="Single"/>
    <n v="2406"/>
    <n v="5456"/>
    <n v="1"/>
    <s v="No"/>
    <n v="11"/>
    <n v="3"/>
    <n v="4"/>
    <n v="0"/>
    <n v="10"/>
    <n v="2"/>
    <n v="3"/>
    <n v="10"/>
    <n v="3"/>
    <n v="9"/>
    <n v="9"/>
    <x v="1"/>
    <n v="21654"/>
    <x v="1"/>
    <n v="0"/>
  </r>
  <r>
    <n v="50"/>
    <x v="1"/>
    <s v="Travel_Rarely"/>
    <n v="989"/>
    <x v="1"/>
    <n v="7"/>
    <n v="2"/>
    <s v="Medical"/>
    <n v="80"/>
    <n v="2"/>
    <s v="Female"/>
    <n v="43"/>
    <n v="2"/>
    <n v="5"/>
    <x v="7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  <x v="1"/>
    <n v="168660"/>
    <x v="0"/>
    <n v="0"/>
  </r>
  <r>
    <n v="59"/>
    <x v="1"/>
    <s v="Travel_Rarely"/>
    <n v="1435"/>
    <x v="0"/>
    <n v="25"/>
    <n v="3"/>
    <s v="Life Sciences"/>
    <n v="81"/>
    <n v="1"/>
    <s v="Female"/>
    <n v="99"/>
    <n v="3"/>
    <n v="3"/>
    <x v="0"/>
    <n v="1"/>
    <s v="Single"/>
    <n v="7637"/>
    <n v="2354"/>
    <n v="7"/>
    <s v="No"/>
    <n v="11"/>
    <n v="3"/>
    <n v="4"/>
    <n v="0"/>
    <n v="28"/>
    <n v="3"/>
    <n v="2"/>
    <n v="21"/>
    <n v="16"/>
    <n v="7"/>
    <n v="9"/>
    <x v="1"/>
    <n v="68733"/>
    <x v="0"/>
    <n v="0"/>
  </r>
  <r>
    <n v="36"/>
    <x v="1"/>
    <s v="Travel_Rarely"/>
    <n v="1223"/>
    <x v="1"/>
    <n v="8"/>
    <n v="3"/>
    <s v="Technical Degree"/>
    <n v="83"/>
    <n v="3"/>
    <s v="Female"/>
    <n v="59"/>
    <n v="3"/>
    <n v="3"/>
    <x v="4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  <x v="1"/>
    <n v="90864"/>
    <x v="1"/>
    <n v="0"/>
  </r>
  <r>
    <n v="55"/>
    <x v="1"/>
    <s v="Travel_Rarely"/>
    <n v="836"/>
    <x v="1"/>
    <n v="8"/>
    <n v="3"/>
    <s v="Medical"/>
    <n v="84"/>
    <n v="4"/>
    <s v="Female"/>
    <n v="33"/>
    <n v="3"/>
    <n v="4"/>
    <x v="5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  <x v="0"/>
    <n v="132804"/>
    <x v="0"/>
    <n v="0"/>
  </r>
  <r>
    <n v="36"/>
    <x v="1"/>
    <s v="Travel_Frequently"/>
    <n v="1195"/>
    <x v="1"/>
    <n v="11"/>
    <n v="3"/>
    <s v="Life Sciences"/>
    <n v="85"/>
    <n v="2"/>
    <s v="Male"/>
    <n v="95"/>
    <n v="2"/>
    <n v="2"/>
    <x v="3"/>
    <n v="2"/>
    <s v="Single"/>
    <n v="6499"/>
    <n v="22656"/>
    <n v="1"/>
    <s v="No"/>
    <n v="13"/>
    <n v="3"/>
    <n v="3"/>
    <n v="0"/>
    <n v="6"/>
    <n v="3"/>
    <n v="3"/>
    <n v="6"/>
    <n v="5"/>
    <n v="0"/>
    <n v="3"/>
    <x v="0"/>
    <n v="58491"/>
    <x v="0"/>
    <n v="0"/>
  </r>
  <r>
    <n v="45"/>
    <x v="1"/>
    <s v="Travel_Rarely"/>
    <n v="1339"/>
    <x v="1"/>
    <n v="7"/>
    <n v="3"/>
    <s v="Life Sciences"/>
    <n v="86"/>
    <n v="2"/>
    <s v="Male"/>
    <n v="59"/>
    <n v="3"/>
    <n v="3"/>
    <x v="1"/>
    <n v="1"/>
    <s v="Divorced"/>
    <n v="9724"/>
    <n v="18787"/>
    <n v="2"/>
    <s v="No"/>
    <n v="17"/>
    <n v="3"/>
    <n v="3"/>
    <n v="1"/>
    <n v="25"/>
    <n v="2"/>
    <n v="3"/>
    <n v="1"/>
    <n v="0"/>
    <n v="0"/>
    <n v="0"/>
    <x v="3"/>
    <n v="87516"/>
    <x v="0"/>
    <n v="0"/>
  </r>
  <r>
    <n v="35"/>
    <x v="1"/>
    <s v="Travel_Frequently"/>
    <n v="664"/>
    <x v="1"/>
    <n v="1"/>
    <n v="3"/>
    <s v="Medical"/>
    <n v="88"/>
    <n v="2"/>
    <s v="Male"/>
    <n v="79"/>
    <n v="3"/>
    <n v="1"/>
    <x v="1"/>
    <n v="1"/>
    <s v="Married"/>
    <n v="2194"/>
    <n v="5868"/>
    <n v="4"/>
    <s v="No"/>
    <n v="13"/>
    <n v="3"/>
    <n v="4"/>
    <n v="1"/>
    <n v="5"/>
    <n v="2"/>
    <n v="2"/>
    <n v="3"/>
    <n v="2"/>
    <n v="1"/>
    <n v="2"/>
    <x v="3"/>
    <n v="19746"/>
    <x v="0"/>
    <n v="0"/>
  </r>
  <r>
    <n v="36"/>
    <x v="0"/>
    <s v="Travel_Rarely"/>
    <n v="318"/>
    <x v="1"/>
    <n v="9"/>
    <n v="3"/>
    <s v="Medical"/>
    <n v="90"/>
    <n v="4"/>
    <s v="Male"/>
    <n v="79"/>
    <n v="2"/>
    <n v="1"/>
    <x v="1"/>
    <n v="3"/>
    <s v="Married"/>
    <n v="3388"/>
    <n v="21777"/>
    <n v="0"/>
    <s v="Yes"/>
    <n v="17"/>
    <n v="3"/>
    <n v="1"/>
    <n v="1"/>
    <n v="2"/>
    <n v="0"/>
    <n v="2"/>
    <n v="1"/>
    <n v="0"/>
    <n v="0"/>
    <n v="0"/>
    <x v="3"/>
    <n v="30492"/>
    <x v="0"/>
    <n v="30492"/>
  </r>
  <r>
    <n v="59"/>
    <x v="1"/>
    <s v="Travel_Frequently"/>
    <n v="1225"/>
    <x v="0"/>
    <n v="1"/>
    <n v="1"/>
    <s v="Life Sciences"/>
    <n v="91"/>
    <n v="1"/>
    <s v="Female"/>
    <n v="57"/>
    <n v="2"/>
    <n v="2"/>
    <x v="0"/>
    <n v="3"/>
    <s v="Single"/>
    <n v="5473"/>
    <n v="24668"/>
    <n v="7"/>
    <s v="No"/>
    <n v="11"/>
    <n v="3"/>
    <n v="4"/>
    <n v="0"/>
    <n v="20"/>
    <n v="2"/>
    <n v="2"/>
    <n v="4"/>
    <n v="3"/>
    <n v="1"/>
    <n v="3"/>
    <x v="0"/>
    <n v="49257"/>
    <x v="1"/>
    <n v="0"/>
  </r>
  <r>
    <n v="29"/>
    <x v="1"/>
    <s v="Travel_Rarely"/>
    <n v="1328"/>
    <x v="1"/>
    <n v="2"/>
    <n v="3"/>
    <s v="Life Sciences"/>
    <n v="94"/>
    <n v="3"/>
    <s v="Male"/>
    <n v="76"/>
    <n v="3"/>
    <n v="1"/>
    <x v="1"/>
    <n v="2"/>
    <s v="Married"/>
    <n v="2703"/>
    <n v="4956"/>
    <n v="0"/>
    <s v="No"/>
    <n v="23"/>
    <n v="4"/>
    <n v="4"/>
    <n v="1"/>
    <n v="6"/>
    <n v="3"/>
    <n v="3"/>
    <n v="5"/>
    <n v="4"/>
    <n v="0"/>
    <n v="4"/>
    <x v="0"/>
    <n v="24327"/>
    <x v="0"/>
    <n v="0"/>
  </r>
  <r>
    <n v="31"/>
    <x v="1"/>
    <s v="Travel_Rarely"/>
    <n v="1082"/>
    <x v="1"/>
    <n v="1"/>
    <n v="4"/>
    <s v="Medical"/>
    <n v="95"/>
    <n v="3"/>
    <s v="Male"/>
    <n v="87"/>
    <n v="3"/>
    <n v="1"/>
    <x v="1"/>
    <n v="2"/>
    <s v="Single"/>
    <n v="2501"/>
    <n v="18775"/>
    <n v="1"/>
    <s v="No"/>
    <n v="17"/>
    <n v="3"/>
    <n v="2"/>
    <n v="0"/>
    <n v="1"/>
    <n v="4"/>
    <n v="3"/>
    <n v="1"/>
    <n v="1"/>
    <n v="1"/>
    <n v="0"/>
    <x v="3"/>
    <n v="22509"/>
    <x v="0"/>
    <n v="0"/>
  </r>
  <r>
    <n v="32"/>
    <x v="1"/>
    <s v="Travel_Rarely"/>
    <n v="548"/>
    <x v="1"/>
    <n v="1"/>
    <n v="3"/>
    <s v="Life Sciences"/>
    <n v="96"/>
    <n v="2"/>
    <s v="Male"/>
    <n v="66"/>
    <n v="3"/>
    <n v="2"/>
    <x v="1"/>
    <n v="2"/>
    <s v="Married"/>
    <n v="6220"/>
    <n v="7346"/>
    <n v="1"/>
    <s v="No"/>
    <n v="17"/>
    <n v="3"/>
    <n v="2"/>
    <n v="2"/>
    <n v="10"/>
    <n v="3"/>
    <n v="3"/>
    <n v="10"/>
    <n v="4"/>
    <n v="0"/>
    <n v="9"/>
    <x v="1"/>
    <n v="55980"/>
    <x v="0"/>
    <n v="0"/>
  </r>
  <r>
    <n v="36"/>
    <x v="1"/>
    <s v="Travel_Rarely"/>
    <n v="132"/>
    <x v="1"/>
    <n v="6"/>
    <n v="3"/>
    <s v="Life Sciences"/>
    <n v="97"/>
    <n v="2"/>
    <s v="Female"/>
    <n v="55"/>
    <n v="4"/>
    <n v="1"/>
    <x v="2"/>
    <n v="4"/>
    <s v="Married"/>
    <n v="3038"/>
    <n v="22002"/>
    <n v="3"/>
    <s v="No"/>
    <n v="12"/>
    <n v="3"/>
    <n v="2"/>
    <n v="0"/>
    <n v="5"/>
    <n v="3"/>
    <n v="3"/>
    <n v="1"/>
    <n v="0"/>
    <n v="0"/>
    <n v="0"/>
    <x v="3"/>
    <n v="27342"/>
    <x v="1"/>
    <n v="0"/>
  </r>
  <r>
    <n v="31"/>
    <x v="1"/>
    <s v="Travel_Rarely"/>
    <n v="746"/>
    <x v="1"/>
    <n v="8"/>
    <n v="4"/>
    <s v="Life Sciences"/>
    <n v="98"/>
    <n v="3"/>
    <s v="Female"/>
    <n v="61"/>
    <n v="3"/>
    <n v="2"/>
    <x v="3"/>
    <n v="4"/>
    <s v="Single"/>
    <n v="4424"/>
    <n v="20682"/>
    <n v="1"/>
    <s v="No"/>
    <n v="23"/>
    <n v="4"/>
    <n v="4"/>
    <n v="0"/>
    <n v="11"/>
    <n v="2"/>
    <n v="3"/>
    <n v="11"/>
    <n v="7"/>
    <n v="1"/>
    <n v="8"/>
    <x v="1"/>
    <n v="39816"/>
    <x v="1"/>
    <n v="0"/>
  </r>
  <r>
    <n v="35"/>
    <x v="1"/>
    <s v="Travel_Rarely"/>
    <n v="776"/>
    <x v="0"/>
    <n v="1"/>
    <n v="4"/>
    <s v="Marketing"/>
    <n v="100"/>
    <n v="3"/>
    <s v="Male"/>
    <n v="32"/>
    <n v="2"/>
    <n v="2"/>
    <x v="0"/>
    <n v="1"/>
    <s v="Single"/>
    <n v="4312"/>
    <n v="23016"/>
    <n v="0"/>
    <s v="No"/>
    <n v="14"/>
    <n v="3"/>
    <n v="2"/>
    <n v="0"/>
    <n v="16"/>
    <n v="2"/>
    <n v="3"/>
    <n v="15"/>
    <n v="13"/>
    <n v="2"/>
    <n v="8"/>
    <x v="1"/>
    <n v="38808"/>
    <x v="0"/>
    <n v="0"/>
  </r>
  <r>
    <n v="45"/>
    <x v="1"/>
    <s v="Travel_Rarely"/>
    <n v="193"/>
    <x v="1"/>
    <n v="6"/>
    <n v="4"/>
    <s v="Other"/>
    <n v="101"/>
    <n v="4"/>
    <s v="Male"/>
    <n v="52"/>
    <n v="3"/>
    <n v="3"/>
    <x v="7"/>
    <n v="1"/>
    <s v="Married"/>
    <n v="13245"/>
    <n v="15067"/>
    <n v="4"/>
    <s v="Yes"/>
    <n v="14"/>
    <n v="3"/>
    <n v="2"/>
    <n v="0"/>
    <n v="17"/>
    <n v="3"/>
    <n v="4"/>
    <n v="0"/>
    <n v="0"/>
    <n v="0"/>
    <n v="0"/>
    <x v="2"/>
    <n v="119205"/>
    <x v="2"/>
    <n v="0"/>
  </r>
  <r>
    <n v="37"/>
    <x v="1"/>
    <s v="Travel_Rarely"/>
    <n v="397"/>
    <x v="1"/>
    <n v="7"/>
    <n v="4"/>
    <s v="Medical"/>
    <n v="102"/>
    <n v="1"/>
    <s v="Male"/>
    <n v="30"/>
    <n v="3"/>
    <n v="3"/>
    <x v="7"/>
    <n v="3"/>
    <s v="Single"/>
    <n v="13664"/>
    <n v="25258"/>
    <n v="4"/>
    <s v="No"/>
    <n v="13"/>
    <n v="3"/>
    <n v="1"/>
    <n v="0"/>
    <n v="16"/>
    <n v="3"/>
    <n v="4"/>
    <n v="5"/>
    <n v="2"/>
    <n v="0"/>
    <n v="2"/>
    <x v="0"/>
    <n v="122976"/>
    <x v="1"/>
    <n v="0"/>
  </r>
  <r>
    <n v="46"/>
    <x v="1"/>
    <s v="Travel_Rarely"/>
    <n v="945"/>
    <x v="2"/>
    <n v="5"/>
    <n v="2"/>
    <s v="Medical"/>
    <n v="103"/>
    <n v="2"/>
    <s v="Male"/>
    <n v="80"/>
    <n v="3"/>
    <n v="2"/>
    <x v="8"/>
    <n v="2"/>
    <s v="Divorced"/>
    <n v="5021"/>
    <n v="10425"/>
    <n v="8"/>
    <s v="Yes"/>
    <n v="22"/>
    <n v="4"/>
    <n v="4"/>
    <n v="1"/>
    <n v="16"/>
    <n v="2"/>
    <n v="3"/>
    <n v="4"/>
    <n v="2"/>
    <n v="0"/>
    <n v="2"/>
    <x v="0"/>
    <n v="45189"/>
    <x v="0"/>
    <n v="0"/>
  </r>
  <r>
    <n v="30"/>
    <x v="1"/>
    <s v="Travel_Rarely"/>
    <n v="852"/>
    <x v="1"/>
    <n v="1"/>
    <n v="1"/>
    <s v="Life Sciences"/>
    <n v="104"/>
    <n v="4"/>
    <s v="Male"/>
    <n v="55"/>
    <n v="2"/>
    <n v="2"/>
    <x v="2"/>
    <n v="4"/>
    <s v="Married"/>
    <n v="5126"/>
    <n v="15998"/>
    <n v="1"/>
    <s v="Yes"/>
    <n v="12"/>
    <n v="3"/>
    <n v="3"/>
    <n v="2"/>
    <n v="10"/>
    <n v="1"/>
    <n v="2"/>
    <n v="10"/>
    <n v="8"/>
    <n v="3"/>
    <n v="0"/>
    <x v="1"/>
    <n v="46134"/>
    <x v="0"/>
    <n v="0"/>
  </r>
  <r>
    <n v="35"/>
    <x v="1"/>
    <s v="Travel_Rarely"/>
    <n v="1214"/>
    <x v="1"/>
    <n v="1"/>
    <n v="3"/>
    <s v="Medical"/>
    <n v="105"/>
    <n v="2"/>
    <s v="Male"/>
    <n v="30"/>
    <n v="2"/>
    <n v="1"/>
    <x v="1"/>
    <n v="3"/>
    <s v="Single"/>
    <n v="2859"/>
    <n v="26278"/>
    <n v="1"/>
    <s v="No"/>
    <n v="18"/>
    <n v="3"/>
    <n v="1"/>
    <n v="0"/>
    <n v="6"/>
    <n v="3"/>
    <n v="3"/>
    <n v="6"/>
    <n v="4"/>
    <n v="0"/>
    <n v="4"/>
    <x v="0"/>
    <n v="25731"/>
    <x v="1"/>
    <n v="0"/>
  </r>
  <r>
    <n v="55"/>
    <x v="1"/>
    <s v="Travel_Rarely"/>
    <n v="111"/>
    <x v="0"/>
    <n v="1"/>
    <n v="2"/>
    <s v="Life Sciences"/>
    <n v="106"/>
    <n v="1"/>
    <s v="Male"/>
    <n v="70"/>
    <n v="3"/>
    <n v="3"/>
    <x v="0"/>
    <n v="4"/>
    <s v="Married"/>
    <n v="10239"/>
    <n v="18092"/>
    <n v="3"/>
    <s v="No"/>
    <n v="14"/>
    <n v="3"/>
    <n v="4"/>
    <n v="1"/>
    <n v="24"/>
    <n v="4"/>
    <n v="3"/>
    <n v="1"/>
    <n v="0"/>
    <n v="1"/>
    <n v="0"/>
    <x v="3"/>
    <n v="92151"/>
    <x v="1"/>
    <n v="0"/>
  </r>
  <r>
    <n v="38"/>
    <x v="1"/>
    <s v="Non-Travel"/>
    <n v="573"/>
    <x v="1"/>
    <n v="6"/>
    <n v="3"/>
    <s v="Medical"/>
    <n v="107"/>
    <n v="2"/>
    <s v="Female"/>
    <n v="79"/>
    <n v="1"/>
    <n v="2"/>
    <x v="1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  <x v="1"/>
    <n v="47961"/>
    <x v="0"/>
    <n v="0"/>
  </r>
  <r>
    <n v="34"/>
    <x v="1"/>
    <s v="Travel_Rarely"/>
    <n v="1153"/>
    <x v="1"/>
    <n v="1"/>
    <n v="2"/>
    <s v="Medical"/>
    <n v="110"/>
    <n v="1"/>
    <s v="Male"/>
    <n v="94"/>
    <n v="3"/>
    <n v="2"/>
    <x v="3"/>
    <n v="2"/>
    <s v="Married"/>
    <n v="4325"/>
    <n v="17736"/>
    <n v="1"/>
    <s v="No"/>
    <n v="15"/>
    <n v="3"/>
    <n v="3"/>
    <n v="0"/>
    <n v="5"/>
    <n v="2"/>
    <n v="3"/>
    <n v="5"/>
    <n v="2"/>
    <n v="1"/>
    <n v="3"/>
    <x v="0"/>
    <n v="38925"/>
    <x v="0"/>
    <n v="0"/>
  </r>
  <r>
    <n v="56"/>
    <x v="1"/>
    <s v="Travel_Rarely"/>
    <n v="1400"/>
    <x v="1"/>
    <n v="7"/>
    <n v="3"/>
    <s v="Life Sciences"/>
    <n v="112"/>
    <n v="4"/>
    <s v="Male"/>
    <n v="49"/>
    <n v="1"/>
    <n v="3"/>
    <x v="3"/>
    <n v="4"/>
    <s v="Single"/>
    <n v="7260"/>
    <n v="21698"/>
    <n v="4"/>
    <s v="No"/>
    <n v="11"/>
    <n v="3"/>
    <n v="1"/>
    <n v="0"/>
    <n v="37"/>
    <n v="3"/>
    <n v="2"/>
    <n v="6"/>
    <n v="4"/>
    <n v="0"/>
    <n v="2"/>
    <x v="0"/>
    <n v="65340"/>
    <x v="1"/>
    <n v="0"/>
  </r>
  <r>
    <n v="23"/>
    <x v="1"/>
    <s v="Travel_Rarely"/>
    <n v="541"/>
    <x v="0"/>
    <n v="2"/>
    <n v="1"/>
    <s v="Technical Degree"/>
    <n v="113"/>
    <n v="3"/>
    <s v="Male"/>
    <n v="62"/>
    <n v="3"/>
    <n v="1"/>
    <x v="6"/>
    <n v="1"/>
    <s v="Divorced"/>
    <n v="2322"/>
    <n v="9518"/>
    <n v="3"/>
    <s v="No"/>
    <n v="13"/>
    <n v="3"/>
    <n v="3"/>
    <n v="1"/>
    <n v="3"/>
    <n v="3"/>
    <n v="3"/>
    <n v="0"/>
    <n v="0"/>
    <n v="0"/>
    <n v="0"/>
    <x v="2"/>
    <n v="20898"/>
    <x v="0"/>
    <n v="0"/>
  </r>
  <r>
    <n v="51"/>
    <x v="1"/>
    <s v="Travel_Rarely"/>
    <n v="432"/>
    <x v="1"/>
    <n v="9"/>
    <n v="4"/>
    <s v="Life Sciences"/>
    <n v="116"/>
    <n v="4"/>
    <s v="Male"/>
    <n v="96"/>
    <n v="3"/>
    <n v="1"/>
    <x v="2"/>
    <n v="4"/>
    <s v="Married"/>
    <n v="2075"/>
    <n v="18725"/>
    <n v="3"/>
    <s v="No"/>
    <n v="23"/>
    <n v="4"/>
    <n v="2"/>
    <n v="2"/>
    <n v="10"/>
    <n v="4"/>
    <n v="3"/>
    <n v="4"/>
    <n v="2"/>
    <n v="0"/>
    <n v="3"/>
    <x v="0"/>
    <n v="18675"/>
    <x v="1"/>
    <n v="0"/>
  </r>
  <r>
    <n v="30"/>
    <x v="1"/>
    <s v="Travel_Rarely"/>
    <n v="288"/>
    <x v="1"/>
    <n v="2"/>
    <n v="3"/>
    <s v="Life Sciences"/>
    <n v="117"/>
    <n v="3"/>
    <s v="Male"/>
    <n v="99"/>
    <n v="2"/>
    <n v="2"/>
    <x v="4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  <x v="1"/>
    <n v="37368"/>
    <x v="1"/>
    <n v="0"/>
  </r>
  <r>
    <n v="46"/>
    <x v="0"/>
    <s v="Travel_Rarely"/>
    <n v="669"/>
    <x v="0"/>
    <n v="9"/>
    <n v="2"/>
    <s v="Medical"/>
    <n v="118"/>
    <n v="3"/>
    <s v="Male"/>
    <n v="64"/>
    <n v="2"/>
    <n v="3"/>
    <x v="0"/>
    <n v="4"/>
    <s v="Single"/>
    <n v="9619"/>
    <n v="13596"/>
    <n v="1"/>
    <s v="No"/>
    <n v="16"/>
    <n v="3"/>
    <n v="4"/>
    <n v="0"/>
    <n v="9"/>
    <n v="3"/>
    <n v="3"/>
    <n v="9"/>
    <n v="8"/>
    <n v="4"/>
    <n v="7"/>
    <x v="1"/>
    <n v="86571"/>
    <x v="1"/>
    <n v="86571"/>
  </r>
  <r>
    <n v="40"/>
    <x v="1"/>
    <s v="Travel_Frequently"/>
    <n v="530"/>
    <x v="1"/>
    <n v="1"/>
    <n v="4"/>
    <s v="Life Sciences"/>
    <n v="119"/>
    <n v="3"/>
    <s v="Male"/>
    <n v="78"/>
    <n v="2"/>
    <n v="4"/>
    <x v="4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  <x v="1"/>
    <n v="121527"/>
    <x v="0"/>
    <n v="0"/>
  </r>
  <r>
    <n v="51"/>
    <x v="1"/>
    <s v="Travel_Rarely"/>
    <n v="632"/>
    <x v="0"/>
    <n v="21"/>
    <n v="4"/>
    <s v="Marketing"/>
    <n v="120"/>
    <n v="3"/>
    <s v="Male"/>
    <n v="71"/>
    <n v="3"/>
    <n v="2"/>
    <x v="0"/>
    <n v="4"/>
    <s v="Single"/>
    <n v="5441"/>
    <n v="8423"/>
    <n v="0"/>
    <s v="Yes"/>
    <n v="22"/>
    <n v="4"/>
    <n v="4"/>
    <n v="0"/>
    <n v="11"/>
    <n v="2"/>
    <n v="1"/>
    <n v="10"/>
    <n v="7"/>
    <n v="1"/>
    <n v="0"/>
    <x v="1"/>
    <n v="48969"/>
    <x v="0"/>
    <n v="0"/>
  </r>
  <r>
    <n v="30"/>
    <x v="1"/>
    <s v="Travel_Rarely"/>
    <n v="1334"/>
    <x v="0"/>
    <n v="4"/>
    <n v="2"/>
    <s v="Medical"/>
    <n v="121"/>
    <n v="3"/>
    <s v="Female"/>
    <n v="63"/>
    <n v="2"/>
    <n v="2"/>
    <x v="0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  <x v="1"/>
    <n v="46881"/>
    <x v="0"/>
    <n v="0"/>
  </r>
  <r>
    <n v="46"/>
    <x v="1"/>
    <s v="Travel_Frequently"/>
    <n v="638"/>
    <x v="1"/>
    <n v="1"/>
    <n v="3"/>
    <s v="Medical"/>
    <n v="124"/>
    <n v="3"/>
    <s v="Male"/>
    <n v="40"/>
    <n v="2"/>
    <n v="3"/>
    <x v="4"/>
    <n v="1"/>
    <s v="Married"/>
    <n v="10673"/>
    <n v="3142"/>
    <n v="2"/>
    <s v="Yes"/>
    <n v="13"/>
    <n v="3"/>
    <n v="3"/>
    <n v="1"/>
    <n v="21"/>
    <n v="5"/>
    <n v="2"/>
    <n v="10"/>
    <n v="9"/>
    <n v="9"/>
    <n v="5"/>
    <x v="1"/>
    <n v="96057"/>
    <x v="0"/>
    <n v="0"/>
  </r>
  <r>
    <n v="32"/>
    <x v="1"/>
    <s v="Travel_Rarely"/>
    <n v="1093"/>
    <x v="0"/>
    <n v="6"/>
    <n v="4"/>
    <s v="Medical"/>
    <n v="125"/>
    <n v="2"/>
    <s v="Male"/>
    <n v="87"/>
    <n v="3"/>
    <n v="2"/>
    <x v="0"/>
    <n v="3"/>
    <s v="Single"/>
    <n v="5010"/>
    <n v="24301"/>
    <n v="1"/>
    <s v="No"/>
    <n v="16"/>
    <n v="3"/>
    <n v="1"/>
    <n v="0"/>
    <n v="12"/>
    <n v="0"/>
    <n v="3"/>
    <n v="11"/>
    <n v="8"/>
    <n v="5"/>
    <n v="7"/>
    <x v="1"/>
    <n v="45090"/>
    <x v="1"/>
    <n v="0"/>
  </r>
  <r>
    <n v="54"/>
    <x v="1"/>
    <s v="Travel_Rarely"/>
    <n v="1217"/>
    <x v="1"/>
    <n v="2"/>
    <n v="4"/>
    <s v="Technical Degree"/>
    <n v="126"/>
    <n v="1"/>
    <s v="Female"/>
    <n v="60"/>
    <n v="3"/>
    <n v="3"/>
    <x v="7"/>
    <n v="3"/>
    <s v="Married"/>
    <n v="13549"/>
    <n v="24001"/>
    <n v="9"/>
    <s v="No"/>
    <n v="12"/>
    <n v="3"/>
    <n v="1"/>
    <n v="1"/>
    <n v="16"/>
    <n v="5"/>
    <n v="1"/>
    <n v="4"/>
    <n v="3"/>
    <n v="0"/>
    <n v="3"/>
    <x v="0"/>
    <n v="121941"/>
    <x v="1"/>
    <n v="0"/>
  </r>
  <r>
    <n v="24"/>
    <x v="1"/>
    <s v="Travel_Rarely"/>
    <n v="1353"/>
    <x v="0"/>
    <n v="3"/>
    <n v="2"/>
    <s v="Other"/>
    <n v="128"/>
    <n v="1"/>
    <s v="Female"/>
    <n v="33"/>
    <n v="3"/>
    <n v="2"/>
    <x v="0"/>
    <n v="3"/>
    <s v="Married"/>
    <n v="4999"/>
    <n v="17519"/>
    <n v="0"/>
    <s v="No"/>
    <n v="21"/>
    <n v="4"/>
    <n v="1"/>
    <n v="1"/>
    <n v="4"/>
    <n v="2"/>
    <n v="2"/>
    <n v="3"/>
    <n v="2"/>
    <n v="0"/>
    <n v="2"/>
    <x v="3"/>
    <n v="44991"/>
    <x v="1"/>
    <n v="0"/>
  </r>
  <r>
    <n v="28"/>
    <x v="1"/>
    <s v="Non-Travel"/>
    <n v="120"/>
    <x v="0"/>
    <n v="4"/>
    <n v="3"/>
    <s v="Medical"/>
    <n v="129"/>
    <n v="2"/>
    <s v="Male"/>
    <n v="43"/>
    <n v="3"/>
    <n v="2"/>
    <x v="0"/>
    <n v="3"/>
    <s v="Married"/>
    <n v="4221"/>
    <n v="8863"/>
    <n v="1"/>
    <s v="No"/>
    <n v="15"/>
    <n v="3"/>
    <n v="2"/>
    <n v="0"/>
    <n v="5"/>
    <n v="3"/>
    <n v="4"/>
    <n v="5"/>
    <n v="4"/>
    <n v="0"/>
    <n v="4"/>
    <x v="0"/>
    <n v="37989"/>
    <x v="1"/>
    <n v="0"/>
  </r>
  <r>
    <n v="58"/>
    <x v="1"/>
    <s v="Travel_Rarely"/>
    <n v="682"/>
    <x v="0"/>
    <n v="10"/>
    <n v="4"/>
    <s v="Medical"/>
    <n v="131"/>
    <n v="4"/>
    <s v="Male"/>
    <n v="37"/>
    <n v="3"/>
    <n v="4"/>
    <x v="0"/>
    <n v="3"/>
    <s v="Single"/>
    <n v="13872"/>
    <n v="24409"/>
    <n v="0"/>
    <s v="No"/>
    <n v="13"/>
    <n v="3"/>
    <n v="3"/>
    <n v="0"/>
    <n v="38"/>
    <n v="1"/>
    <n v="2"/>
    <n v="37"/>
    <n v="10"/>
    <n v="1"/>
    <n v="8"/>
    <x v="1"/>
    <n v="124848"/>
    <x v="1"/>
    <n v="0"/>
  </r>
  <r>
    <n v="44"/>
    <x v="1"/>
    <s v="Non-Travel"/>
    <n v="489"/>
    <x v="1"/>
    <n v="23"/>
    <n v="3"/>
    <s v="Medical"/>
    <n v="132"/>
    <n v="2"/>
    <s v="Male"/>
    <n v="67"/>
    <n v="3"/>
    <n v="2"/>
    <x v="2"/>
    <n v="2"/>
    <s v="Married"/>
    <n v="2042"/>
    <n v="25043"/>
    <n v="4"/>
    <s v="No"/>
    <n v="12"/>
    <n v="3"/>
    <n v="3"/>
    <n v="1"/>
    <n v="17"/>
    <n v="3"/>
    <n v="4"/>
    <n v="3"/>
    <n v="2"/>
    <n v="1"/>
    <n v="2"/>
    <x v="3"/>
    <n v="18378"/>
    <x v="0"/>
    <n v="0"/>
  </r>
  <r>
    <n v="37"/>
    <x v="0"/>
    <s v="Travel_Rarely"/>
    <n v="807"/>
    <x v="2"/>
    <n v="6"/>
    <n v="4"/>
    <s v="Human Resources"/>
    <n v="133"/>
    <n v="3"/>
    <s v="Male"/>
    <n v="63"/>
    <n v="3"/>
    <n v="1"/>
    <x v="8"/>
    <n v="1"/>
    <s v="Divorced"/>
    <n v="2073"/>
    <n v="23648"/>
    <n v="4"/>
    <s v="Yes"/>
    <n v="22"/>
    <n v="4"/>
    <n v="4"/>
    <n v="0"/>
    <n v="7"/>
    <n v="3"/>
    <n v="3"/>
    <n v="3"/>
    <n v="2"/>
    <n v="0"/>
    <n v="2"/>
    <x v="3"/>
    <n v="18657"/>
    <x v="2"/>
    <n v="18657"/>
  </r>
  <r>
    <n v="32"/>
    <x v="1"/>
    <s v="Travel_Rarely"/>
    <n v="827"/>
    <x v="1"/>
    <n v="1"/>
    <n v="1"/>
    <s v="Life Sciences"/>
    <n v="134"/>
    <n v="4"/>
    <s v="Male"/>
    <n v="71"/>
    <n v="3"/>
    <n v="1"/>
    <x v="1"/>
    <n v="1"/>
    <s v="Single"/>
    <n v="2956"/>
    <n v="15178"/>
    <n v="1"/>
    <s v="No"/>
    <n v="13"/>
    <n v="3"/>
    <n v="4"/>
    <n v="0"/>
    <n v="1"/>
    <n v="2"/>
    <n v="3"/>
    <n v="1"/>
    <n v="0"/>
    <n v="0"/>
    <n v="0"/>
    <x v="3"/>
    <n v="26604"/>
    <x v="0"/>
    <n v="0"/>
  </r>
  <r>
    <n v="20"/>
    <x v="0"/>
    <s v="Travel_Frequently"/>
    <n v="871"/>
    <x v="1"/>
    <n v="6"/>
    <n v="3"/>
    <s v="Life Sciences"/>
    <n v="137"/>
    <n v="4"/>
    <s v="Female"/>
    <n v="66"/>
    <n v="2"/>
    <n v="1"/>
    <x v="2"/>
    <n v="4"/>
    <s v="Single"/>
    <n v="2926"/>
    <n v="19783"/>
    <n v="1"/>
    <s v="Yes"/>
    <n v="18"/>
    <n v="3"/>
    <n v="2"/>
    <n v="0"/>
    <n v="1"/>
    <n v="5"/>
    <n v="3"/>
    <n v="1"/>
    <n v="0"/>
    <n v="1"/>
    <n v="0"/>
    <x v="3"/>
    <n v="26334"/>
    <x v="0"/>
    <n v="26334"/>
  </r>
  <r>
    <n v="34"/>
    <x v="1"/>
    <s v="Travel_Rarely"/>
    <n v="665"/>
    <x v="1"/>
    <n v="6"/>
    <n v="4"/>
    <s v="Other"/>
    <n v="138"/>
    <n v="1"/>
    <s v="Female"/>
    <n v="41"/>
    <n v="3"/>
    <n v="2"/>
    <x v="1"/>
    <n v="3"/>
    <s v="Single"/>
    <n v="4809"/>
    <n v="12482"/>
    <n v="1"/>
    <s v="No"/>
    <n v="14"/>
    <n v="3"/>
    <n v="3"/>
    <n v="0"/>
    <n v="16"/>
    <n v="3"/>
    <n v="3"/>
    <n v="16"/>
    <n v="13"/>
    <n v="2"/>
    <n v="10"/>
    <x v="1"/>
    <n v="43281"/>
    <x v="1"/>
    <n v="0"/>
  </r>
  <r>
    <n v="37"/>
    <x v="1"/>
    <s v="Non-Travel"/>
    <n v="1040"/>
    <x v="1"/>
    <n v="2"/>
    <n v="2"/>
    <s v="Life Sciences"/>
    <n v="139"/>
    <n v="3"/>
    <s v="Male"/>
    <n v="100"/>
    <n v="2"/>
    <n v="2"/>
    <x v="4"/>
    <n v="4"/>
    <s v="Divorced"/>
    <n v="5163"/>
    <n v="15850"/>
    <n v="5"/>
    <s v="No"/>
    <n v="14"/>
    <n v="3"/>
    <n v="4"/>
    <n v="1"/>
    <n v="17"/>
    <n v="2"/>
    <n v="4"/>
    <n v="1"/>
    <n v="0"/>
    <n v="0"/>
    <n v="0"/>
    <x v="3"/>
    <n v="46467"/>
    <x v="1"/>
    <n v="0"/>
  </r>
  <r>
    <n v="59"/>
    <x v="1"/>
    <s v="Non-Travel"/>
    <n v="1420"/>
    <x v="2"/>
    <n v="2"/>
    <n v="4"/>
    <s v="Human Resources"/>
    <n v="140"/>
    <n v="3"/>
    <s v="Female"/>
    <n v="32"/>
    <n v="2"/>
    <n v="5"/>
    <x v="5"/>
    <n v="4"/>
    <s v="Married"/>
    <n v="18844"/>
    <n v="21922"/>
    <n v="9"/>
    <s v="No"/>
    <n v="21"/>
    <n v="4"/>
    <n v="4"/>
    <n v="1"/>
    <n v="30"/>
    <n v="3"/>
    <n v="3"/>
    <n v="3"/>
    <n v="2"/>
    <n v="2"/>
    <n v="2"/>
    <x v="3"/>
    <n v="169596"/>
    <x v="1"/>
    <n v="0"/>
  </r>
  <r>
    <n v="50"/>
    <x v="1"/>
    <s v="Travel_Frequently"/>
    <n v="1115"/>
    <x v="1"/>
    <n v="1"/>
    <n v="3"/>
    <s v="Life Sciences"/>
    <n v="141"/>
    <n v="1"/>
    <s v="Female"/>
    <n v="73"/>
    <n v="3"/>
    <n v="5"/>
    <x v="7"/>
    <n v="2"/>
    <s v="Married"/>
    <n v="18172"/>
    <n v="9755"/>
    <n v="3"/>
    <s v="Yes"/>
    <n v="19"/>
    <n v="3"/>
    <n v="1"/>
    <n v="0"/>
    <n v="28"/>
    <n v="1"/>
    <n v="2"/>
    <n v="8"/>
    <n v="3"/>
    <n v="0"/>
    <n v="7"/>
    <x v="1"/>
    <n v="163548"/>
    <x v="0"/>
    <n v="0"/>
  </r>
  <r>
    <n v="25"/>
    <x v="0"/>
    <s v="Travel_Rarely"/>
    <n v="240"/>
    <x v="0"/>
    <n v="5"/>
    <n v="3"/>
    <s v="Marketing"/>
    <n v="142"/>
    <n v="3"/>
    <s v="Male"/>
    <n v="46"/>
    <n v="2"/>
    <n v="2"/>
    <x v="0"/>
    <n v="3"/>
    <s v="Single"/>
    <n v="5744"/>
    <n v="26959"/>
    <n v="1"/>
    <s v="Yes"/>
    <n v="11"/>
    <n v="3"/>
    <n v="4"/>
    <n v="0"/>
    <n v="6"/>
    <n v="1"/>
    <n v="3"/>
    <n v="6"/>
    <n v="4"/>
    <n v="0"/>
    <n v="3"/>
    <x v="0"/>
    <n v="51696"/>
    <x v="0"/>
    <n v="51696"/>
  </r>
  <r>
    <n v="25"/>
    <x v="1"/>
    <s v="Travel_Rarely"/>
    <n v="1280"/>
    <x v="1"/>
    <n v="7"/>
    <n v="1"/>
    <s v="Medical"/>
    <n v="143"/>
    <n v="4"/>
    <s v="Male"/>
    <n v="64"/>
    <n v="2"/>
    <n v="1"/>
    <x v="1"/>
    <n v="4"/>
    <s v="Married"/>
    <n v="2889"/>
    <n v="26897"/>
    <n v="1"/>
    <s v="No"/>
    <n v="11"/>
    <n v="3"/>
    <n v="3"/>
    <n v="2"/>
    <n v="2"/>
    <n v="2"/>
    <n v="3"/>
    <n v="2"/>
    <n v="2"/>
    <n v="2"/>
    <n v="1"/>
    <x v="3"/>
    <n v="26001"/>
    <x v="1"/>
    <n v="0"/>
  </r>
  <r>
    <n v="22"/>
    <x v="1"/>
    <s v="Travel_Rarely"/>
    <n v="534"/>
    <x v="1"/>
    <n v="15"/>
    <n v="3"/>
    <s v="Medical"/>
    <n v="144"/>
    <n v="2"/>
    <s v="Female"/>
    <n v="59"/>
    <n v="3"/>
    <n v="1"/>
    <x v="2"/>
    <n v="4"/>
    <s v="Single"/>
    <n v="2871"/>
    <n v="23785"/>
    <n v="1"/>
    <s v="No"/>
    <n v="15"/>
    <n v="3"/>
    <n v="3"/>
    <n v="0"/>
    <n v="1"/>
    <n v="5"/>
    <n v="3"/>
    <n v="0"/>
    <n v="0"/>
    <n v="0"/>
    <n v="0"/>
    <x v="2"/>
    <n v="25839"/>
    <x v="1"/>
    <n v="0"/>
  </r>
  <r>
    <n v="51"/>
    <x v="1"/>
    <s v="Travel_Frequently"/>
    <n v="1456"/>
    <x v="1"/>
    <n v="1"/>
    <n v="4"/>
    <s v="Medical"/>
    <n v="145"/>
    <n v="1"/>
    <s v="Female"/>
    <n v="30"/>
    <n v="2"/>
    <n v="3"/>
    <x v="4"/>
    <n v="1"/>
    <s v="Single"/>
    <n v="7484"/>
    <n v="25796"/>
    <n v="3"/>
    <s v="No"/>
    <n v="20"/>
    <n v="4"/>
    <n v="3"/>
    <n v="0"/>
    <n v="23"/>
    <n v="1"/>
    <n v="2"/>
    <n v="13"/>
    <n v="12"/>
    <n v="12"/>
    <n v="8"/>
    <x v="1"/>
    <n v="67356"/>
    <x v="0"/>
    <n v="0"/>
  </r>
  <r>
    <n v="34"/>
    <x v="0"/>
    <s v="Travel_Frequently"/>
    <n v="658"/>
    <x v="1"/>
    <n v="7"/>
    <n v="3"/>
    <s v="Life Sciences"/>
    <n v="147"/>
    <n v="1"/>
    <s v="Male"/>
    <n v="66"/>
    <n v="1"/>
    <n v="2"/>
    <x v="2"/>
    <n v="3"/>
    <s v="Single"/>
    <n v="6074"/>
    <n v="22887"/>
    <n v="1"/>
    <s v="Yes"/>
    <n v="24"/>
    <n v="4"/>
    <n v="4"/>
    <n v="0"/>
    <n v="9"/>
    <n v="3"/>
    <n v="3"/>
    <n v="9"/>
    <n v="7"/>
    <n v="0"/>
    <n v="6"/>
    <x v="1"/>
    <n v="54666"/>
    <x v="0"/>
    <n v="54666"/>
  </r>
  <r>
    <n v="54"/>
    <x v="1"/>
    <s v="Non-Travel"/>
    <n v="142"/>
    <x v="2"/>
    <n v="26"/>
    <n v="3"/>
    <s v="Human Resources"/>
    <n v="148"/>
    <n v="4"/>
    <s v="Female"/>
    <n v="30"/>
    <n v="4"/>
    <n v="4"/>
    <x v="5"/>
    <n v="4"/>
    <s v="Single"/>
    <n v="17328"/>
    <n v="13871"/>
    <n v="2"/>
    <s v="Yes"/>
    <n v="12"/>
    <n v="3"/>
    <n v="3"/>
    <n v="0"/>
    <n v="23"/>
    <n v="3"/>
    <n v="3"/>
    <n v="5"/>
    <n v="3"/>
    <n v="4"/>
    <n v="4"/>
    <x v="0"/>
    <n v="155952"/>
    <x v="0"/>
    <n v="0"/>
  </r>
  <r>
    <n v="24"/>
    <x v="1"/>
    <s v="Travel_Rarely"/>
    <n v="1127"/>
    <x v="1"/>
    <n v="18"/>
    <n v="1"/>
    <s v="Life Sciences"/>
    <n v="150"/>
    <n v="2"/>
    <s v="Male"/>
    <n v="52"/>
    <n v="3"/>
    <n v="1"/>
    <x v="2"/>
    <n v="3"/>
    <s v="Married"/>
    <n v="2774"/>
    <n v="13257"/>
    <n v="0"/>
    <s v="No"/>
    <n v="12"/>
    <n v="3"/>
    <n v="3"/>
    <n v="1"/>
    <n v="6"/>
    <n v="2"/>
    <n v="3"/>
    <n v="5"/>
    <n v="3"/>
    <n v="1"/>
    <n v="2"/>
    <x v="0"/>
    <n v="24966"/>
    <x v="1"/>
    <n v="0"/>
  </r>
  <r>
    <n v="34"/>
    <x v="1"/>
    <s v="Travel_Rarely"/>
    <n v="1031"/>
    <x v="1"/>
    <n v="6"/>
    <n v="4"/>
    <s v="Life Sciences"/>
    <n v="151"/>
    <n v="3"/>
    <s v="Female"/>
    <n v="45"/>
    <n v="2"/>
    <n v="2"/>
    <x v="1"/>
    <n v="2"/>
    <s v="Divorced"/>
    <n v="4505"/>
    <n v="15000"/>
    <n v="6"/>
    <s v="No"/>
    <n v="15"/>
    <n v="3"/>
    <n v="3"/>
    <n v="1"/>
    <n v="12"/>
    <n v="3"/>
    <n v="3"/>
    <n v="1"/>
    <n v="0"/>
    <n v="0"/>
    <n v="0"/>
    <x v="3"/>
    <n v="40545"/>
    <x v="0"/>
    <n v="0"/>
  </r>
  <r>
    <n v="37"/>
    <x v="1"/>
    <s v="Travel_Rarely"/>
    <n v="1189"/>
    <x v="0"/>
    <n v="3"/>
    <n v="3"/>
    <s v="Life Sciences"/>
    <n v="152"/>
    <n v="3"/>
    <s v="Male"/>
    <n v="87"/>
    <n v="3"/>
    <n v="3"/>
    <x v="0"/>
    <n v="4"/>
    <s v="Single"/>
    <n v="7428"/>
    <n v="14506"/>
    <n v="2"/>
    <s v="No"/>
    <n v="12"/>
    <n v="3"/>
    <n v="1"/>
    <n v="0"/>
    <n v="12"/>
    <n v="3"/>
    <n v="3"/>
    <n v="5"/>
    <n v="3"/>
    <n v="1"/>
    <n v="3"/>
    <x v="0"/>
    <n v="66852"/>
    <x v="1"/>
    <n v="0"/>
  </r>
  <r>
    <n v="34"/>
    <x v="1"/>
    <s v="Travel_Rarely"/>
    <n v="1354"/>
    <x v="1"/>
    <n v="5"/>
    <n v="3"/>
    <s v="Medical"/>
    <n v="153"/>
    <n v="3"/>
    <s v="Female"/>
    <n v="45"/>
    <n v="2"/>
    <n v="3"/>
    <x v="5"/>
    <n v="1"/>
    <s v="Single"/>
    <n v="11631"/>
    <n v="5615"/>
    <n v="2"/>
    <s v="No"/>
    <n v="12"/>
    <n v="3"/>
    <n v="4"/>
    <n v="0"/>
    <n v="14"/>
    <n v="6"/>
    <n v="3"/>
    <n v="11"/>
    <n v="10"/>
    <n v="5"/>
    <n v="8"/>
    <x v="1"/>
    <n v="104679"/>
    <x v="0"/>
    <n v="0"/>
  </r>
  <r>
    <n v="36"/>
    <x v="1"/>
    <s v="Travel_Frequently"/>
    <n v="1467"/>
    <x v="0"/>
    <n v="11"/>
    <n v="2"/>
    <s v="Technical Degree"/>
    <n v="154"/>
    <n v="2"/>
    <s v="Female"/>
    <n v="92"/>
    <n v="3"/>
    <n v="3"/>
    <x v="0"/>
    <n v="4"/>
    <s v="Married"/>
    <n v="9738"/>
    <n v="22952"/>
    <n v="0"/>
    <s v="No"/>
    <n v="14"/>
    <n v="3"/>
    <n v="3"/>
    <n v="1"/>
    <n v="10"/>
    <n v="6"/>
    <n v="3"/>
    <n v="9"/>
    <n v="7"/>
    <n v="2"/>
    <n v="8"/>
    <x v="1"/>
    <n v="87642"/>
    <x v="1"/>
    <n v="0"/>
  </r>
  <r>
    <n v="36"/>
    <x v="1"/>
    <s v="Travel_Rarely"/>
    <n v="922"/>
    <x v="1"/>
    <n v="3"/>
    <n v="2"/>
    <s v="Life Sciences"/>
    <n v="155"/>
    <n v="1"/>
    <s v="Female"/>
    <n v="39"/>
    <n v="3"/>
    <n v="1"/>
    <x v="2"/>
    <n v="4"/>
    <s v="Divorced"/>
    <n v="2835"/>
    <n v="2561"/>
    <n v="5"/>
    <s v="No"/>
    <n v="22"/>
    <n v="4"/>
    <n v="1"/>
    <n v="1"/>
    <n v="7"/>
    <n v="2"/>
    <n v="3"/>
    <n v="1"/>
    <n v="0"/>
    <n v="0"/>
    <n v="0"/>
    <x v="3"/>
    <n v="25515"/>
    <x v="1"/>
    <n v="0"/>
  </r>
  <r>
    <n v="43"/>
    <x v="1"/>
    <s v="Travel_Frequently"/>
    <n v="394"/>
    <x v="0"/>
    <n v="26"/>
    <n v="2"/>
    <s v="Life Sciences"/>
    <n v="158"/>
    <n v="3"/>
    <s v="Male"/>
    <n v="92"/>
    <n v="3"/>
    <n v="4"/>
    <x v="5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  <x v="1"/>
    <n v="152631"/>
    <x v="0"/>
    <n v="0"/>
  </r>
  <r>
    <n v="30"/>
    <x v="1"/>
    <s v="Travel_Frequently"/>
    <n v="1312"/>
    <x v="1"/>
    <n v="23"/>
    <n v="3"/>
    <s v="Life Sciences"/>
    <n v="159"/>
    <n v="1"/>
    <s v="Male"/>
    <n v="96"/>
    <n v="1"/>
    <n v="1"/>
    <x v="1"/>
    <n v="3"/>
    <s v="Divorced"/>
    <n v="2613"/>
    <n v="22310"/>
    <n v="1"/>
    <s v="No"/>
    <n v="25"/>
    <n v="4"/>
    <n v="3"/>
    <n v="3"/>
    <n v="10"/>
    <n v="2"/>
    <n v="2"/>
    <n v="10"/>
    <n v="7"/>
    <n v="0"/>
    <n v="9"/>
    <x v="1"/>
    <n v="23517"/>
    <x v="1"/>
    <n v="0"/>
  </r>
  <r>
    <n v="33"/>
    <x v="1"/>
    <s v="Non-Travel"/>
    <n v="750"/>
    <x v="0"/>
    <n v="22"/>
    <n v="2"/>
    <s v="Marketing"/>
    <n v="160"/>
    <n v="3"/>
    <s v="Male"/>
    <n v="95"/>
    <n v="3"/>
    <n v="2"/>
    <x v="0"/>
    <n v="2"/>
    <s v="Married"/>
    <n v="6146"/>
    <n v="15480"/>
    <n v="0"/>
    <s v="No"/>
    <n v="13"/>
    <n v="3"/>
    <n v="1"/>
    <n v="1"/>
    <n v="8"/>
    <n v="2"/>
    <n v="4"/>
    <n v="7"/>
    <n v="7"/>
    <n v="0"/>
    <n v="7"/>
    <x v="1"/>
    <n v="55314"/>
    <x v="0"/>
    <n v="0"/>
  </r>
  <r>
    <n v="56"/>
    <x v="0"/>
    <s v="Travel_Rarely"/>
    <n v="441"/>
    <x v="1"/>
    <n v="14"/>
    <n v="4"/>
    <s v="Life Sciences"/>
    <n v="161"/>
    <n v="2"/>
    <s v="Female"/>
    <n v="72"/>
    <n v="3"/>
    <n v="1"/>
    <x v="1"/>
    <n v="2"/>
    <s v="Married"/>
    <n v="4963"/>
    <n v="4510"/>
    <n v="9"/>
    <s v="Yes"/>
    <n v="18"/>
    <n v="3"/>
    <n v="1"/>
    <n v="3"/>
    <n v="7"/>
    <n v="2"/>
    <n v="3"/>
    <n v="5"/>
    <n v="4"/>
    <n v="4"/>
    <n v="3"/>
    <x v="0"/>
    <n v="44667"/>
    <x v="0"/>
    <n v="44667"/>
  </r>
  <r>
    <n v="51"/>
    <x v="1"/>
    <s v="Travel_Rarely"/>
    <n v="684"/>
    <x v="1"/>
    <n v="6"/>
    <n v="3"/>
    <s v="Life Sciences"/>
    <n v="162"/>
    <n v="1"/>
    <s v="Male"/>
    <n v="51"/>
    <n v="3"/>
    <n v="5"/>
    <x v="7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  <x v="1"/>
    <n v="175833"/>
    <x v="1"/>
    <n v="0"/>
  </r>
  <r>
    <n v="31"/>
    <x v="0"/>
    <s v="Travel_Rarely"/>
    <n v="249"/>
    <x v="0"/>
    <n v="6"/>
    <n v="4"/>
    <s v="Life Sciences"/>
    <n v="163"/>
    <n v="2"/>
    <s v="Male"/>
    <n v="76"/>
    <n v="1"/>
    <n v="2"/>
    <x v="0"/>
    <n v="3"/>
    <s v="Married"/>
    <n v="6172"/>
    <n v="20739"/>
    <n v="4"/>
    <s v="Yes"/>
    <n v="18"/>
    <n v="3"/>
    <n v="2"/>
    <n v="0"/>
    <n v="12"/>
    <n v="3"/>
    <n v="2"/>
    <n v="7"/>
    <n v="7"/>
    <n v="7"/>
    <n v="7"/>
    <x v="1"/>
    <n v="55548"/>
    <x v="0"/>
    <n v="55548"/>
  </r>
  <r>
    <n v="26"/>
    <x v="1"/>
    <s v="Travel_Rarely"/>
    <n v="841"/>
    <x v="1"/>
    <n v="6"/>
    <n v="3"/>
    <s v="Other"/>
    <n v="164"/>
    <n v="3"/>
    <s v="Female"/>
    <n v="46"/>
    <n v="2"/>
    <n v="1"/>
    <x v="1"/>
    <n v="2"/>
    <s v="Married"/>
    <n v="2368"/>
    <n v="23300"/>
    <n v="1"/>
    <s v="No"/>
    <n v="19"/>
    <n v="3"/>
    <n v="3"/>
    <n v="0"/>
    <n v="5"/>
    <n v="3"/>
    <n v="2"/>
    <n v="5"/>
    <n v="4"/>
    <n v="4"/>
    <n v="3"/>
    <x v="0"/>
    <n v="21312"/>
    <x v="0"/>
    <n v="0"/>
  </r>
  <r>
    <n v="58"/>
    <x v="0"/>
    <s v="Travel_Rarely"/>
    <n v="147"/>
    <x v="1"/>
    <n v="23"/>
    <n v="4"/>
    <s v="Medical"/>
    <n v="165"/>
    <n v="4"/>
    <s v="Female"/>
    <n v="94"/>
    <n v="3"/>
    <n v="3"/>
    <x v="4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  <x v="1"/>
    <n v="92808"/>
    <x v="1"/>
    <n v="92808"/>
  </r>
  <r>
    <n v="19"/>
    <x v="0"/>
    <s v="Travel_Rarely"/>
    <n v="528"/>
    <x v="0"/>
    <n v="22"/>
    <n v="1"/>
    <s v="Marketing"/>
    <n v="167"/>
    <n v="4"/>
    <s v="Male"/>
    <n v="50"/>
    <n v="3"/>
    <n v="1"/>
    <x v="6"/>
    <n v="3"/>
    <s v="Single"/>
    <n v="1675"/>
    <n v="26820"/>
    <n v="1"/>
    <s v="Yes"/>
    <n v="19"/>
    <n v="3"/>
    <n v="4"/>
    <n v="0"/>
    <n v="0"/>
    <n v="2"/>
    <n v="2"/>
    <n v="0"/>
    <n v="0"/>
    <n v="0"/>
    <n v="0"/>
    <x v="2"/>
    <n v="15075"/>
    <x v="0"/>
    <n v="15075"/>
  </r>
  <r>
    <n v="22"/>
    <x v="1"/>
    <s v="Travel_Rarely"/>
    <n v="594"/>
    <x v="1"/>
    <n v="2"/>
    <n v="1"/>
    <s v="Technical Degree"/>
    <n v="169"/>
    <n v="3"/>
    <s v="Male"/>
    <n v="100"/>
    <n v="3"/>
    <n v="1"/>
    <x v="2"/>
    <n v="4"/>
    <s v="Married"/>
    <n v="2523"/>
    <n v="19299"/>
    <n v="0"/>
    <s v="No"/>
    <n v="14"/>
    <n v="3"/>
    <n v="3"/>
    <n v="1"/>
    <n v="3"/>
    <n v="2"/>
    <n v="3"/>
    <n v="2"/>
    <n v="1"/>
    <n v="2"/>
    <n v="1"/>
    <x v="3"/>
    <n v="22707"/>
    <x v="1"/>
    <n v="0"/>
  </r>
  <r>
    <n v="49"/>
    <x v="1"/>
    <s v="Travel_Rarely"/>
    <n v="470"/>
    <x v="1"/>
    <n v="20"/>
    <n v="4"/>
    <s v="Medical"/>
    <n v="170"/>
    <n v="3"/>
    <s v="Female"/>
    <n v="96"/>
    <n v="3"/>
    <n v="2"/>
    <x v="3"/>
    <n v="1"/>
    <s v="Married"/>
    <n v="6567"/>
    <n v="5549"/>
    <n v="1"/>
    <s v="No"/>
    <n v="14"/>
    <n v="3"/>
    <n v="3"/>
    <n v="0"/>
    <n v="16"/>
    <n v="2"/>
    <n v="2"/>
    <n v="15"/>
    <n v="11"/>
    <n v="5"/>
    <n v="11"/>
    <x v="1"/>
    <n v="59103"/>
    <x v="0"/>
    <n v="0"/>
  </r>
  <r>
    <n v="43"/>
    <x v="1"/>
    <s v="Travel_Frequently"/>
    <n v="957"/>
    <x v="1"/>
    <n v="28"/>
    <n v="3"/>
    <s v="Medical"/>
    <n v="171"/>
    <n v="2"/>
    <s v="Female"/>
    <n v="72"/>
    <n v="4"/>
    <n v="1"/>
    <x v="1"/>
    <n v="3"/>
    <s v="Single"/>
    <n v="4739"/>
    <n v="16090"/>
    <n v="4"/>
    <s v="No"/>
    <n v="12"/>
    <n v="3"/>
    <n v="4"/>
    <n v="0"/>
    <n v="18"/>
    <n v="2"/>
    <n v="3"/>
    <n v="3"/>
    <n v="2"/>
    <n v="1"/>
    <n v="2"/>
    <x v="3"/>
    <n v="42651"/>
    <x v="1"/>
    <n v="0"/>
  </r>
  <r>
    <n v="50"/>
    <x v="1"/>
    <s v="Travel_Frequently"/>
    <n v="809"/>
    <x v="0"/>
    <n v="12"/>
    <n v="3"/>
    <s v="Marketing"/>
    <n v="174"/>
    <n v="3"/>
    <s v="Female"/>
    <n v="77"/>
    <n v="3"/>
    <n v="3"/>
    <x v="0"/>
    <n v="4"/>
    <s v="Single"/>
    <n v="9208"/>
    <n v="6645"/>
    <n v="4"/>
    <s v="No"/>
    <n v="11"/>
    <n v="3"/>
    <n v="4"/>
    <n v="0"/>
    <n v="16"/>
    <n v="3"/>
    <n v="3"/>
    <n v="2"/>
    <n v="2"/>
    <n v="2"/>
    <n v="1"/>
    <x v="3"/>
    <n v="82872"/>
    <x v="1"/>
    <n v="0"/>
  </r>
  <r>
    <n v="31"/>
    <x v="0"/>
    <s v="Travel_Rarely"/>
    <n v="542"/>
    <x v="0"/>
    <n v="20"/>
    <n v="3"/>
    <s v="Life Sciences"/>
    <n v="175"/>
    <n v="2"/>
    <s v="Female"/>
    <n v="71"/>
    <n v="1"/>
    <n v="2"/>
    <x v="0"/>
    <n v="3"/>
    <s v="Married"/>
    <n v="4559"/>
    <n v="24788"/>
    <n v="3"/>
    <s v="Yes"/>
    <n v="11"/>
    <n v="3"/>
    <n v="3"/>
    <n v="1"/>
    <n v="4"/>
    <n v="2"/>
    <n v="3"/>
    <n v="2"/>
    <n v="2"/>
    <n v="2"/>
    <n v="2"/>
    <x v="3"/>
    <n v="41031"/>
    <x v="0"/>
    <n v="41031"/>
  </r>
  <r>
    <n v="41"/>
    <x v="1"/>
    <s v="Travel_Rarely"/>
    <n v="802"/>
    <x v="0"/>
    <n v="9"/>
    <n v="1"/>
    <s v="Life Sciences"/>
    <n v="176"/>
    <n v="3"/>
    <s v="Male"/>
    <n v="96"/>
    <n v="3"/>
    <n v="3"/>
    <x v="0"/>
    <n v="3"/>
    <s v="Divorced"/>
    <n v="8189"/>
    <n v="21196"/>
    <n v="3"/>
    <s v="Yes"/>
    <n v="13"/>
    <n v="3"/>
    <n v="3"/>
    <n v="1"/>
    <n v="12"/>
    <n v="2"/>
    <n v="3"/>
    <n v="9"/>
    <n v="7"/>
    <n v="0"/>
    <n v="7"/>
    <x v="1"/>
    <n v="73701"/>
    <x v="0"/>
    <n v="0"/>
  </r>
  <r>
    <n v="26"/>
    <x v="1"/>
    <s v="Travel_Rarely"/>
    <n v="1355"/>
    <x v="2"/>
    <n v="25"/>
    <n v="1"/>
    <s v="Life Sciences"/>
    <n v="177"/>
    <n v="3"/>
    <s v="Female"/>
    <n v="61"/>
    <n v="3"/>
    <n v="1"/>
    <x v="8"/>
    <n v="3"/>
    <s v="Married"/>
    <n v="2942"/>
    <n v="8916"/>
    <n v="1"/>
    <s v="No"/>
    <n v="23"/>
    <n v="4"/>
    <n v="4"/>
    <n v="1"/>
    <n v="8"/>
    <n v="3"/>
    <n v="3"/>
    <n v="8"/>
    <n v="7"/>
    <n v="5"/>
    <n v="7"/>
    <x v="1"/>
    <n v="26478"/>
    <x v="1"/>
    <n v="0"/>
  </r>
  <r>
    <n v="36"/>
    <x v="1"/>
    <s v="Travel_Rarely"/>
    <n v="216"/>
    <x v="1"/>
    <n v="6"/>
    <n v="2"/>
    <s v="Medical"/>
    <n v="178"/>
    <n v="2"/>
    <s v="Male"/>
    <n v="84"/>
    <n v="3"/>
    <n v="2"/>
    <x v="3"/>
    <n v="2"/>
    <s v="Divorced"/>
    <n v="4941"/>
    <n v="2819"/>
    <n v="6"/>
    <s v="No"/>
    <n v="20"/>
    <n v="4"/>
    <n v="4"/>
    <n v="2"/>
    <n v="7"/>
    <n v="0"/>
    <n v="3"/>
    <n v="3"/>
    <n v="2"/>
    <n v="0"/>
    <n v="1"/>
    <x v="3"/>
    <n v="44469"/>
    <x v="0"/>
    <n v="0"/>
  </r>
  <r>
    <n v="51"/>
    <x v="0"/>
    <s v="Travel_Frequently"/>
    <n v="1150"/>
    <x v="1"/>
    <n v="8"/>
    <n v="4"/>
    <s v="Life Sciences"/>
    <n v="179"/>
    <n v="1"/>
    <s v="Male"/>
    <n v="53"/>
    <n v="1"/>
    <n v="3"/>
    <x v="3"/>
    <n v="4"/>
    <s v="Single"/>
    <n v="10650"/>
    <n v="25150"/>
    <n v="2"/>
    <s v="No"/>
    <n v="15"/>
    <n v="3"/>
    <n v="4"/>
    <n v="0"/>
    <n v="18"/>
    <n v="2"/>
    <n v="3"/>
    <n v="4"/>
    <n v="2"/>
    <n v="0"/>
    <n v="3"/>
    <x v="0"/>
    <n v="95850"/>
    <x v="1"/>
    <n v="95850"/>
  </r>
  <r>
    <n v="39"/>
    <x v="1"/>
    <s v="Travel_Rarely"/>
    <n v="1329"/>
    <x v="0"/>
    <n v="4"/>
    <n v="4"/>
    <s v="Life Sciences"/>
    <n v="182"/>
    <n v="4"/>
    <s v="Female"/>
    <n v="47"/>
    <n v="2"/>
    <n v="2"/>
    <x v="0"/>
    <n v="3"/>
    <s v="Married"/>
    <n v="5902"/>
    <n v="14590"/>
    <n v="4"/>
    <s v="No"/>
    <n v="14"/>
    <n v="3"/>
    <n v="3"/>
    <n v="1"/>
    <n v="17"/>
    <n v="1"/>
    <n v="4"/>
    <n v="15"/>
    <n v="11"/>
    <n v="5"/>
    <n v="9"/>
    <x v="1"/>
    <n v="53118"/>
    <x v="1"/>
    <n v="0"/>
  </r>
  <r>
    <n v="25"/>
    <x v="1"/>
    <s v="Travel_Rarely"/>
    <n v="959"/>
    <x v="0"/>
    <n v="28"/>
    <n v="3"/>
    <s v="Life Sciences"/>
    <n v="183"/>
    <n v="1"/>
    <s v="Male"/>
    <n v="41"/>
    <n v="2"/>
    <n v="2"/>
    <x v="0"/>
    <n v="3"/>
    <s v="Married"/>
    <n v="8639"/>
    <n v="24835"/>
    <n v="2"/>
    <s v="No"/>
    <n v="18"/>
    <n v="3"/>
    <n v="4"/>
    <n v="0"/>
    <n v="6"/>
    <n v="3"/>
    <n v="3"/>
    <n v="2"/>
    <n v="2"/>
    <n v="2"/>
    <n v="2"/>
    <x v="3"/>
    <n v="77751"/>
    <x v="1"/>
    <n v="0"/>
  </r>
  <r>
    <n v="30"/>
    <x v="1"/>
    <s v="Travel_Rarely"/>
    <n v="1240"/>
    <x v="2"/>
    <n v="9"/>
    <n v="3"/>
    <s v="Human Resources"/>
    <n v="184"/>
    <n v="3"/>
    <s v="Male"/>
    <n v="48"/>
    <n v="3"/>
    <n v="2"/>
    <x v="8"/>
    <n v="4"/>
    <s v="Married"/>
    <n v="6347"/>
    <n v="13982"/>
    <n v="0"/>
    <s v="Yes"/>
    <n v="19"/>
    <n v="3"/>
    <n v="4"/>
    <n v="0"/>
    <n v="12"/>
    <n v="2"/>
    <n v="1"/>
    <n v="11"/>
    <n v="9"/>
    <n v="4"/>
    <n v="7"/>
    <x v="1"/>
    <n v="57123"/>
    <x v="0"/>
    <n v="0"/>
  </r>
  <r>
    <n v="32"/>
    <x v="0"/>
    <s v="Travel_Rarely"/>
    <n v="1033"/>
    <x v="1"/>
    <n v="9"/>
    <n v="3"/>
    <s v="Medical"/>
    <n v="190"/>
    <n v="1"/>
    <s v="Female"/>
    <n v="41"/>
    <n v="3"/>
    <n v="1"/>
    <x v="2"/>
    <n v="1"/>
    <s v="Single"/>
    <n v="4200"/>
    <n v="10224"/>
    <n v="7"/>
    <s v="No"/>
    <n v="22"/>
    <n v="4"/>
    <n v="1"/>
    <n v="0"/>
    <n v="10"/>
    <n v="2"/>
    <n v="4"/>
    <n v="5"/>
    <n v="4"/>
    <n v="0"/>
    <n v="4"/>
    <x v="0"/>
    <n v="37800"/>
    <x v="0"/>
    <n v="37800"/>
  </r>
  <r>
    <n v="45"/>
    <x v="1"/>
    <s v="Travel_Rarely"/>
    <n v="1316"/>
    <x v="1"/>
    <n v="29"/>
    <n v="3"/>
    <s v="Medical"/>
    <n v="192"/>
    <n v="3"/>
    <s v="Male"/>
    <n v="83"/>
    <n v="3"/>
    <n v="1"/>
    <x v="1"/>
    <n v="4"/>
    <s v="Single"/>
    <n v="3452"/>
    <n v="9752"/>
    <n v="5"/>
    <s v="No"/>
    <n v="13"/>
    <n v="3"/>
    <n v="2"/>
    <n v="0"/>
    <n v="9"/>
    <n v="2"/>
    <n v="2"/>
    <n v="6"/>
    <n v="5"/>
    <n v="0"/>
    <n v="3"/>
    <x v="0"/>
    <n v="31068"/>
    <x v="1"/>
    <n v="0"/>
  </r>
  <r>
    <n v="38"/>
    <x v="1"/>
    <s v="Travel_Rarely"/>
    <n v="364"/>
    <x v="1"/>
    <n v="3"/>
    <n v="5"/>
    <s v="Technical Degree"/>
    <n v="193"/>
    <n v="4"/>
    <s v="Female"/>
    <n v="32"/>
    <n v="3"/>
    <n v="2"/>
    <x v="1"/>
    <n v="3"/>
    <s v="Single"/>
    <n v="4317"/>
    <n v="2302"/>
    <n v="3"/>
    <s v="Yes"/>
    <n v="20"/>
    <n v="4"/>
    <n v="2"/>
    <n v="0"/>
    <n v="19"/>
    <n v="2"/>
    <n v="3"/>
    <n v="3"/>
    <n v="2"/>
    <n v="2"/>
    <n v="2"/>
    <x v="3"/>
    <n v="38853"/>
    <x v="0"/>
    <n v="0"/>
  </r>
  <r>
    <n v="30"/>
    <x v="1"/>
    <s v="Travel_Rarely"/>
    <n v="438"/>
    <x v="1"/>
    <n v="18"/>
    <n v="3"/>
    <s v="Life Sciences"/>
    <n v="194"/>
    <n v="1"/>
    <s v="Female"/>
    <n v="75"/>
    <n v="3"/>
    <n v="1"/>
    <x v="1"/>
    <n v="3"/>
    <s v="Single"/>
    <n v="2632"/>
    <n v="23910"/>
    <n v="1"/>
    <s v="No"/>
    <n v="14"/>
    <n v="3"/>
    <n v="3"/>
    <n v="0"/>
    <n v="5"/>
    <n v="4"/>
    <n v="2"/>
    <n v="5"/>
    <n v="4"/>
    <n v="0"/>
    <n v="4"/>
    <x v="0"/>
    <n v="23688"/>
    <x v="1"/>
    <n v="0"/>
  </r>
  <r>
    <n v="32"/>
    <x v="1"/>
    <s v="Travel_Frequently"/>
    <n v="689"/>
    <x v="0"/>
    <n v="9"/>
    <n v="2"/>
    <s v="Medical"/>
    <n v="195"/>
    <n v="4"/>
    <s v="Male"/>
    <n v="35"/>
    <n v="1"/>
    <n v="2"/>
    <x v="0"/>
    <n v="4"/>
    <s v="Divorced"/>
    <n v="4668"/>
    <n v="22812"/>
    <n v="0"/>
    <s v="No"/>
    <n v="17"/>
    <n v="3"/>
    <n v="4"/>
    <n v="3"/>
    <n v="9"/>
    <n v="2"/>
    <n v="4"/>
    <n v="8"/>
    <n v="7"/>
    <n v="0"/>
    <n v="7"/>
    <x v="1"/>
    <n v="42012"/>
    <x v="1"/>
    <n v="0"/>
  </r>
  <r>
    <n v="30"/>
    <x v="1"/>
    <s v="Travel_Rarely"/>
    <n v="201"/>
    <x v="1"/>
    <n v="5"/>
    <n v="3"/>
    <s v="Technical Degree"/>
    <n v="197"/>
    <n v="4"/>
    <s v="Female"/>
    <n v="84"/>
    <n v="3"/>
    <n v="1"/>
    <x v="1"/>
    <n v="1"/>
    <s v="Divorced"/>
    <n v="3204"/>
    <n v="10415"/>
    <n v="5"/>
    <s v="No"/>
    <n v="14"/>
    <n v="3"/>
    <n v="4"/>
    <n v="1"/>
    <n v="8"/>
    <n v="3"/>
    <n v="3"/>
    <n v="3"/>
    <n v="2"/>
    <n v="2"/>
    <n v="2"/>
    <x v="3"/>
    <n v="28836"/>
    <x v="0"/>
    <n v="0"/>
  </r>
  <r>
    <n v="30"/>
    <x v="1"/>
    <s v="Travel_Rarely"/>
    <n v="1427"/>
    <x v="1"/>
    <n v="2"/>
    <n v="1"/>
    <s v="Medical"/>
    <n v="198"/>
    <n v="2"/>
    <s v="Male"/>
    <n v="35"/>
    <n v="2"/>
    <n v="1"/>
    <x v="2"/>
    <n v="4"/>
    <s v="Single"/>
    <n v="2720"/>
    <n v="11162"/>
    <n v="0"/>
    <s v="No"/>
    <n v="13"/>
    <n v="3"/>
    <n v="4"/>
    <n v="0"/>
    <n v="6"/>
    <n v="3"/>
    <n v="3"/>
    <n v="5"/>
    <n v="3"/>
    <n v="1"/>
    <n v="2"/>
    <x v="0"/>
    <n v="24480"/>
    <x v="1"/>
    <n v="0"/>
  </r>
  <r>
    <n v="41"/>
    <x v="1"/>
    <s v="Travel_Frequently"/>
    <n v="857"/>
    <x v="1"/>
    <n v="10"/>
    <n v="3"/>
    <s v="Life Sciences"/>
    <n v="199"/>
    <n v="4"/>
    <s v="Male"/>
    <n v="91"/>
    <n v="2"/>
    <n v="4"/>
    <x v="5"/>
    <n v="1"/>
    <s v="Divorced"/>
    <n v="17181"/>
    <n v="12888"/>
    <n v="4"/>
    <s v="No"/>
    <n v="13"/>
    <n v="3"/>
    <n v="2"/>
    <n v="1"/>
    <n v="21"/>
    <n v="2"/>
    <n v="2"/>
    <n v="7"/>
    <n v="6"/>
    <n v="7"/>
    <n v="7"/>
    <x v="1"/>
    <n v="154629"/>
    <x v="0"/>
    <n v="0"/>
  </r>
  <r>
    <n v="41"/>
    <x v="1"/>
    <s v="Travel_Rarely"/>
    <n v="933"/>
    <x v="1"/>
    <n v="9"/>
    <n v="4"/>
    <s v="Life Sciences"/>
    <n v="200"/>
    <n v="3"/>
    <s v="Male"/>
    <n v="94"/>
    <n v="3"/>
    <n v="1"/>
    <x v="2"/>
    <n v="1"/>
    <s v="Married"/>
    <n v="2238"/>
    <n v="6961"/>
    <n v="2"/>
    <s v="No"/>
    <n v="21"/>
    <n v="4"/>
    <n v="4"/>
    <n v="1"/>
    <n v="7"/>
    <n v="2"/>
    <n v="3"/>
    <n v="5"/>
    <n v="0"/>
    <n v="1"/>
    <n v="4"/>
    <x v="0"/>
    <n v="20142"/>
    <x v="0"/>
    <n v="0"/>
  </r>
  <r>
    <n v="19"/>
    <x v="1"/>
    <s v="Travel_Rarely"/>
    <n v="1181"/>
    <x v="1"/>
    <n v="3"/>
    <n v="1"/>
    <s v="Medical"/>
    <n v="201"/>
    <n v="2"/>
    <s v="Female"/>
    <n v="79"/>
    <n v="3"/>
    <n v="1"/>
    <x v="2"/>
    <n v="2"/>
    <s v="Single"/>
    <n v="1483"/>
    <n v="16102"/>
    <n v="1"/>
    <s v="No"/>
    <n v="14"/>
    <n v="3"/>
    <n v="4"/>
    <n v="0"/>
    <n v="1"/>
    <n v="3"/>
    <n v="3"/>
    <n v="1"/>
    <n v="0"/>
    <n v="0"/>
    <n v="0"/>
    <x v="3"/>
    <n v="13347"/>
    <x v="0"/>
    <n v="0"/>
  </r>
  <r>
    <n v="40"/>
    <x v="1"/>
    <s v="Travel_Frequently"/>
    <n v="1395"/>
    <x v="1"/>
    <n v="26"/>
    <n v="3"/>
    <s v="Medical"/>
    <n v="202"/>
    <n v="2"/>
    <s v="Female"/>
    <n v="54"/>
    <n v="3"/>
    <n v="2"/>
    <x v="1"/>
    <n v="2"/>
    <s v="Divorced"/>
    <n v="5605"/>
    <n v="8504"/>
    <n v="1"/>
    <s v="No"/>
    <n v="11"/>
    <n v="3"/>
    <n v="1"/>
    <n v="1"/>
    <n v="20"/>
    <n v="2"/>
    <n v="3"/>
    <n v="20"/>
    <n v="7"/>
    <n v="2"/>
    <n v="13"/>
    <x v="1"/>
    <n v="50445"/>
    <x v="0"/>
    <n v="0"/>
  </r>
  <r>
    <n v="35"/>
    <x v="1"/>
    <s v="Travel_Rarely"/>
    <n v="662"/>
    <x v="0"/>
    <n v="1"/>
    <n v="5"/>
    <s v="Marketing"/>
    <n v="204"/>
    <n v="3"/>
    <s v="Male"/>
    <n v="94"/>
    <n v="3"/>
    <n v="3"/>
    <x v="0"/>
    <n v="2"/>
    <s v="Married"/>
    <n v="7295"/>
    <n v="11439"/>
    <n v="1"/>
    <s v="No"/>
    <n v="13"/>
    <n v="3"/>
    <n v="1"/>
    <n v="2"/>
    <n v="10"/>
    <n v="3"/>
    <n v="3"/>
    <n v="10"/>
    <n v="8"/>
    <n v="0"/>
    <n v="6"/>
    <x v="1"/>
    <n v="65655"/>
    <x v="0"/>
    <n v="0"/>
  </r>
  <r>
    <n v="53"/>
    <x v="1"/>
    <s v="Travel_Rarely"/>
    <n v="1436"/>
    <x v="0"/>
    <n v="6"/>
    <n v="2"/>
    <s v="Marketing"/>
    <n v="205"/>
    <n v="2"/>
    <s v="Male"/>
    <n v="34"/>
    <n v="3"/>
    <n v="2"/>
    <x v="6"/>
    <n v="3"/>
    <s v="Married"/>
    <n v="2306"/>
    <n v="16047"/>
    <n v="2"/>
    <s v="Yes"/>
    <n v="20"/>
    <n v="4"/>
    <n v="4"/>
    <n v="1"/>
    <n v="13"/>
    <n v="3"/>
    <n v="1"/>
    <n v="7"/>
    <n v="7"/>
    <n v="4"/>
    <n v="5"/>
    <x v="1"/>
    <n v="20754"/>
    <x v="0"/>
    <n v="0"/>
  </r>
  <r>
    <n v="45"/>
    <x v="1"/>
    <s v="Travel_Rarely"/>
    <n v="194"/>
    <x v="1"/>
    <n v="9"/>
    <n v="3"/>
    <s v="Life Sciences"/>
    <n v="206"/>
    <n v="2"/>
    <s v="Male"/>
    <n v="60"/>
    <n v="3"/>
    <n v="2"/>
    <x v="2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  <x v="1"/>
    <n v="21132"/>
    <x v="0"/>
    <n v="0"/>
  </r>
  <r>
    <n v="32"/>
    <x v="1"/>
    <s v="Travel_Frequently"/>
    <n v="967"/>
    <x v="0"/>
    <n v="8"/>
    <n v="3"/>
    <s v="Marketing"/>
    <n v="207"/>
    <n v="2"/>
    <s v="Female"/>
    <n v="43"/>
    <n v="3"/>
    <n v="3"/>
    <x v="0"/>
    <n v="4"/>
    <s v="Single"/>
    <n v="8998"/>
    <n v="15589"/>
    <n v="1"/>
    <s v="No"/>
    <n v="14"/>
    <n v="3"/>
    <n v="4"/>
    <n v="0"/>
    <n v="9"/>
    <n v="2"/>
    <n v="3"/>
    <n v="9"/>
    <n v="8"/>
    <n v="3"/>
    <n v="7"/>
    <x v="1"/>
    <n v="80982"/>
    <x v="1"/>
    <n v="0"/>
  </r>
  <r>
    <n v="29"/>
    <x v="1"/>
    <s v="Non-Travel"/>
    <n v="1496"/>
    <x v="1"/>
    <n v="1"/>
    <n v="1"/>
    <s v="Technical Degree"/>
    <n v="208"/>
    <n v="4"/>
    <s v="Male"/>
    <n v="41"/>
    <n v="3"/>
    <n v="2"/>
    <x v="3"/>
    <n v="3"/>
    <s v="Married"/>
    <n v="4319"/>
    <n v="26283"/>
    <n v="1"/>
    <s v="No"/>
    <n v="13"/>
    <n v="3"/>
    <n v="1"/>
    <n v="1"/>
    <n v="10"/>
    <n v="1"/>
    <n v="3"/>
    <n v="10"/>
    <n v="7"/>
    <n v="0"/>
    <n v="9"/>
    <x v="1"/>
    <n v="38871"/>
    <x v="1"/>
    <n v="0"/>
  </r>
  <r>
    <n v="51"/>
    <x v="1"/>
    <s v="Travel_Rarely"/>
    <n v="1169"/>
    <x v="1"/>
    <n v="7"/>
    <n v="4"/>
    <s v="Medical"/>
    <n v="211"/>
    <n v="2"/>
    <s v="Male"/>
    <n v="34"/>
    <n v="2"/>
    <n v="2"/>
    <x v="3"/>
    <n v="3"/>
    <s v="Married"/>
    <n v="6132"/>
    <n v="13983"/>
    <n v="2"/>
    <s v="No"/>
    <n v="17"/>
    <n v="3"/>
    <n v="3"/>
    <n v="0"/>
    <n v="10"/>
    <n v="2"/>
    <n v="3"/>
    <n v="1"/>
    <n v="0"/>
    <n v="0"/>
    <n v="0"/>
    <x v="3"/>
    <n v="55188"/>
    <x v="1"/>
    <n v="0"/>
  </r>
  <r>
    <n v="58"/>
    <x v="1"/>
    <s v="Travel_Rarely"/>
    <n v="1145"/>
    <x v="1"/>
    <n v="9"/>
    <n v="3"/>
    <s v="Medical"/>
    <n v="214"/>
    <n v="2"/>
    <s v="Female"/>
    <n v="75"/>
    <n v="2"/>
    <n v="1"/>
    <x v="1"/>
    <n v="2"/>
    <s v="Married"/>
    <n v="3346"/>
    <n v="11873"/>
    <n v="4"/>
    <s v="Yes"/>
    <n v="20"/>
    <n v="4"/>
    <n v="2"/>
    <n v="1"/>
    <n v="9"/>
    <n v="3"/>
    <n v="2"/>
    <n v="1"/>
    <n v="0"/>
    <n v="0"/>
    <n v="0"/>
    <x v="3"/>
    <n v="30114"/>
    <x v="2"/>
    <n v="0"/>
  </r>
  <r>
    <n v="40"/>
    <x v="1"/>
    <s v="Travel_Rarely"/>
    <n v="630"/>
    <x v="0"/>
    <n v="4"/>
    <n v="4"/>
    <s v="Marketing"/>
    <n v="215"/>
    <n v="3"/>
    <s v="Male"/>
    <n v="67"/>
    <n v="2"/>
    <n v="3"/>
    <x v="0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  <x v="1"/>
    <n v="97695"/>
    <x v="1"/>
    <n v="0"/>
  </r>
  <r>
    <n v="34"/>
    <x v="1"/>
    <s v="Travel_Frequently"/>
    <n v="303"/>
    <x v="0"/>
    <n v="2"/>
    <n v="4"/>
    <s v="Marketing"/>
    <n v="216"/>
    <n v="3"/>
    <s v="Female"/>
    <n v="75"/>
    <n v="3"/>
    <n v="1"/>
    <x v="6"/>
    <n v="3"/>
    <s v="Married"/>
    <n v="2231"/>
    <n v="11314"/>
    <n v="6"/>
    <s v="No"/>
    <n v="18"/>
    <n v="3"/>
    <n v="4"/>
    <n v="1"/>
    <n v="6"/>
    <n v="3"/>
    <n v="3"/>
    <n v="4"/>
    <n v="3"/>
    <n v="1"/>
    <n v="2"/>
    <x v="0"/>
    <n v="20079"/>
    <x v="1"/>
    <n v="0"/>
  </r>
  <r>
    <n v="22"/>
    <x v="1"/>
    <s v="Travel_Rarely"/>
    <n v="1256"/>
    <x v="1"/>
    <n v="19"/>
    <n v="1"/>
    <s v="Medical"/>
    <n v="217"/>
    <n v="3"/>
    <s v="Male"/>
    <n v="80"/>
    <n v="3"/>
    <n v="1"/>
    <x v="1"/>
    <n v="4"/>
    <s v="Married"/>
    <n v="2323"/>
    <n v="11992"/>
    <n v="1"/>
    <s v="No"/>
    <n v="24"/>
    <n v="4"/>
    <n v="1"/>
    <n v="2"/>
    <n v="2"/>
    <n v="6"/>
    <n v="3"/>
    <n v="2"/>
    <n v="2"/>
    <n v="2"/>
    <n v="2"/>
    <x v="3"/>
    <n v="20907"/>
    <x v="1"/>
    <n v="0"/>
  </r>
  <r>
    <n v="27"/>
    <x v="1"/>
    <s v="Non-Travel"/>
    <n v="691"/>
    <x v="1"/>
    <n v="9"/>
    <n v="3"/>
    <s v="Medical"/>
    <n v="218"/>
    <n v="4"/>
    <s v="Male"/>
    <n v="57"/>
    <n v="3"/>
    <n v="1"/>
    <x v="1"/>
    <n v="2"/>
    <s v="Divorced"/>
    <n v="2024"/>
    <n v="5970"/>
    <n v="6"/>
    <s v="No"/>
    <n v="18"/>
    <n v="3"/>
    <n v="4"/>
    <n v="1"/>
    <n v="6"/>
    <n v="1"/>
    <n v="1"/>
    <n v="2"/>
    <n v="2"/>
    <n v="2"/>
    <n v="2"/>
    <x v="3"/>
    <n v="18216"/>
    <x v="0"/>
    <n v="0"/>
  </r>
  <r>
    <n v="28"/>
    <x v="1"/>
    <s v="Travel_Rarely"/>
    <n v="440"/>
    <x v="1"/>
    <n v="21"/>
    <n v="3"/>
    <s v="Medical"/>
    <n v="221"/>
    <n v="3"/>
    <s v="Male"/>
    <n v="42"/>
    <n v="3"/>
    <n v="1"/>
    <x v="1"/>
    <n v="4"/>
    <s v="Married"/>
    <n v="2713"/>
    <n v="6672"/>
    <n v="1"/>
    <s v="No"/>
    <n v="11"/>
    <n v="3"/>
    <n v="3"/>
    <n v="1"/>
    <n v="5"/>
    <n v="2"/>
    <n v="1"/>
    <n v="5"/>
    <n v="2"/>
    <n v="0"/>
    <n v="2"/>
    <x v="0"/>
    <n v="24417"/>
    <x v="1"/>
    <n v="0"/>
  </r>
  <r>
    <n v="57"/>
    <x v="1"/>
    <s v="Travel_Rarely"/>
    <n v="334"/>
    <x v="1"/>
    <n v="24"/>
    <n v="2"/>
    <s v="Life Sciences"/>
    <n v="223"/>
    <n v="3"/>
    <s v="Male"/>
    <n v="83"/>
    <n v="4"/>
    <n v="3"/>
    <x v="4"/>
    <n v="4"/>
    <s v="Divorced"/>
    <n v="9439"/>
    <n v="23402"/>
    <n v="3"/>
    <s v="Yes"/>
    <n v="16"/>
    <n v="3"/>
    <n v="2"/>
    <n v="1"/>
    <n v="12"/>
    <n v="2"/>
    <n v="1"/>
    <n v="5"/>
    <n v="3"/>
    <n v="1"/>
    <n v="4"/>
    <x v="0"/>
    <n v="84951"/>
    <x v="0"/>
    <n v="0"/>
  </r>
  <r>
    <n v="27"/>
    <x v="1"/>
    <s v="Non-Travel"/>
    <n v="1450"/>
    <x v="1"/>
    <n v="3"/>
    <n v="3"/>
    <s v="Medical"/>
    <n v="224"/>
    <n v="3"/>
    <s v="Male"/>
    <n v="79"/>
    <n v="2"/>
    <n v="1"/>
    <x v="1"/>
    <n v="3"/>
    <s v="Divorced"/>
    <n v="2566"/>
    <n v="25326"/>
    <n v="1"/>
    <s v="Yes"/>
    <n v="15"/>
    <n v="3"/>
    <n v="4"/>
    <n v="1"/>
    <n v="1"/>
    <n v="2"/>
    <n v="2"/>
    <n v="1"/>
    <n v="1"/>
    <n v="0"/>
    <n v="1"/>
    <x v="3"/>
    <n v="23094"/>
    <x v="0"/>
    <n v="0"/>
  </r>
  <r>
    <n v="50"/>
    <x v="1"/>
    <s v="Travel_Rarely"/>
    <n v="1452"/>
    <x v="1"/>
    <n v="11"/>
    <n v="3"/>
    <s v="Life Sciences"/>
    <n v="226"/>
    <n v="3"/>
    <s v="Female"/>
    <n v="53"/>
    <n v="3"/>
    <n v="5"/>
    <x v="5"/>
    <n v="2"/>
    <s v="Single"/>
    <n v="19926"/>
    <n v="17053"/>
    <n v="3"/>
    <s v="No"/>
    <n v="15"/>
    <n v="3"/>
    <n v="2"/>
    <n v="0"/>
    <n v="21"/>
    <n v="5"/>
    <n v="3"/>
    <n v="5"/>
    <n v="4"/>
    <n v="4"/>
    <n v="4"/>
    <x v="0"/>
    <n v="179334"/>
    <x v="0"/>
    <n v="0"/>
  </r>
  <r>
    <n v="41"/>
    <x v="1"/>
    <s v="Travel_Rarely"/>
    <n v="465"/>
    <x v="1"/>
    <n v="14"/>
    <n v="3"/>
    <s v="Life Sciences"/>
    <n v="227"/>
    <n v="1"/>
    <s v="Male"/>
    <n v="56"/>
    <n v="3"/>
    <n v="1"/>
    <x v="1"/>
    <n v="3"/>
    <s v="Divorced"/>
    <n v="2451"/>
    <n v="4609"/>
    <n v="4"/>
    <s v="No"/>
    <n v="12"/>
    <n v="3"/>
    <n v="1"/>
    <n v="1"/>
    <n v="13"/>
    <n v="2"/>
    <n v="3"/>
    <n v="9"/>
    <n v="8"/>
    <n v="1"/>
    <n v="8"/>
    <x v="1"/>
    <n v="22059"/>
    <x v="1"/>
    <n v="0"/>
  </r>
  <r>
    <n v="30"/>
    <x v="1"/>
    <s v="Travel_Rarely"/>
    <n v="1339"/>
    <x v="0"/>
    <n v="5"/>
    <n v="3"/>
    <s v="Life Sciences"/>
    <n v="228"/>
    <n v="2"/>
    <s v="Female"/>
    <n v="41"/>
    <n v="3"/>
    <n v="3"/>
    <x v="0"/>
    <n v="4"/>
    <s v="Married"/>
    <n v="9419"/>
    <n v="8053"/>
    <n v="2"/>
    <s v="No"/>
    <n v="12"/>
    <n v="3"/>
    <n v="3"/>
    <n v="1"/>
    <n v="12"/>
    <n v="2"/>
    <n v="3"/>
    <n v="10"/>
    <n v="9"/>
    <n v="7"/>
    <n v="4"/>
    <x v="1"/>
    <n v="84771"/>
    <x v="1"/>
    <n v="0"/>
  </r>
  <r>
    <n v="38"/>
    <x v="1"/>
    <s v="Travel_Rarely"/>
    <n v="702"/>
    <x v="0"/>
    <n v="1"/>
    <n v="4"/>
    <s v="Life Sciences"/>
    <n v="230"/>
    <n v="1"/>
    <s v="Female"/>
    <n v="59"/>
    <n v="2"/>
    <n v="2"/>
    <x v="0"/>
    <n v="4"/>
    <s v="Single"/>
    <n v="8686"/>
    <n v="12930"/>
    <n v="4"/>
    <s v="No"/>
    <n v="22"/>
    <n v="4"/>
    <n v="3"/>
    <n v="0"/>
    <n v="12"/>
    <n v="2"/>
    <n v="4"/>
    <n v="8"/>
    <n v="3"/>
    <n v="0"/>
    <n v="7"/>
    <x v="1"/>
    <n v="78174"/>
    <x v="1"/>
    <n v="0"/>
  </r>
  <r>
    <n v="32"/>
    <x v="1"/>
    <s v="Travel_Rarely"/>
    <n v="120"/>
    <x v="1"/>
    <n v="6"/>
    <n v="5"/>
    <s v="Life Sciences"/>
    <n v="231"/>
    <n v="3"/>
    <s v="Male"/>
    <n v="43"/>
    <n v="3"/>
    <n v="1"/>
    <x v="1"/>
    <n v="3"/>
    <s v="Single"/>
    <n v="3038"/>
    <n v="12430"/>
    <n v="3"/>
    <s v="No"/>
    <n v="20"/>
    <n v="4"/>
    <n v="1"/>
    <n v="0"/>
    <n v="8"/>
    <n v="2"/>
    <n v="3"/>
    <n v="5"/>
    <n v="4"/>
    <n v="1"/>
    <n v="4"/>
    <x v="0"/>
    <n v="27342"/>
    <x v="1"/>
    <n v="0"/>
  </r>
  <r>
    <n v="27"/>
    <x v="1"/>
    <s v="Travel_Rarely"/>
    <n v="1157"/>
    <x v="1"/>
    <n v="17"/>
    <n v="3"/>
    <s v="Technical Degree"/>
    <n v="233"/>
    <n v="3"/>
    <s v="Male"/>
    <n v="51"/>
    <n v="3"/>
    <n v="1"/>
    <x v="1"/>
    <n v="2"/>
    <s v="Married"/>
    <n v="3058"/>
    <n v="13364"/>
    <n v="0"/>
    <s v="Yes"/>
    <n v="16"/>
    <n v="3"/>
    <n v="4"/>
    <n v="1"/>
    <n v="6"/>
    <n v="3"/>
    <n v="2"/>
    <n v="5"/>
    <n v="2"/>
    <n v="1"/>
    <n v="1"/>
    <x v="0"/>
    <n v="27522"/>
    <x v="0"/>
    <n v="0"/>
  </r>
  <r>
    <n v="19"/>
    <x v="0"/>
    <s v="Travel_Frequently"/>
    <n v="602"/>
    <x v="0"/>
    <n v="1"/>
    <n v="1"/>
    <s v="Technical Degree"/>
    <n v="235"/>
    <n v="3"/>
    <s v="Female"/>
    <n v="100"/>
    <n v="1"/>
    <n v="1"/>
    <x v="6"/>
    <n v="1"/>
    <s v="Single"/>
    <n v="2325"/>
    <n v="20989"/>
    <n v="0"/>
    <s v="No"/>
    <n v="21"/>
    <n v="4"/>
    <n v="1"/>
    <n v="0"/>
    <n v="1"/>
    <n v="5"/>
    <n v="4"/>
    <n v="0"/>
    <n v="0"/>
    <n v="0"/>
    <n v="0"/>
    <x v="2"/>
    <n v="20925"/>
    <x v="0"/>
    <n v="20925"/>
  </r>
  <r>
    <n v="36"/>
    <x v="1"/>
    <s v="Travel_Frequently"/>
    <n v="1480"/>
    <x v="1"/>
    <n v="3"/>
    <n v="2"/>
    <s v="Medical"/>
    <n v="238"/>
    <n v="4"/>
    <s v="Male"/>
    <n v="30"/>
    <n v="3"/>
    <n v="1"/>
    <x v="2"/>
    <n v="2"/>
    <s v="Single"/>
    <n v="2088"/>
    <n v="15062"/>
    <n v="4"/>
    <s v="No"/>
    <n v="12"/>
    <n v="3"/>
    <n v="3"/>
    <n v="0"/>
    <n v="13"/>
    <n v="3"/>
    <n v="2"/>
    <n v="8"/>
    <n v="7"/>
    <n v="7"/>
    <n v="2"/>
    <x v="1"/>
    <n v="18792"/>
    <x v="0"/>
    <n v="0"/>
  </r>
  <r>
    <n v="30"/>
    <x v="1"/>
    <s v="Non-Travel"/>
    <n v="111"/>
    <x v="1"/>
    <n v="9"/>
    <n v="3"/>
    <s v="Medical"/>
    <n v="239"/>
    <n v="3"/>
    <s v="Male"/>
    <n v="66"/>
    <n v="3"/>
    <n v="2"/>
    <x v="2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  <x v="1"/>
    <n v="27648"/>
    <x v="0"/>
    <n v="0"/>
  </r>
  <r>
    <n v="45"/>
    <x v="1"/>
    <s v="Travel_Rarely"/>
    <n v="1268"/>
    <x v="0"/>
    <n v="4"/>
    <n v="2"/>
    <s v="Life Sciences"/>
    <n v="240"/>
    <n v="3"/>
    <s v="Female"/>
    <n v="30"/>
    <n v="3"/>
    <n v="2"/>
    <x v="0"/>
    <n v="1"/>
    <s v="Divorced"/>
    <n v="5006"/>
    <n v="6319"/>
    <n v="4"/>
    <s v="Yes"/>
    <n v="11"/>
    <n v="3"/>
    <n v="1"/>
    <n v="1"/>
    <n v="9"/>
    <n v="3"/>
    <n v="4"/>
    <n v="5"/>
    <n v="4"/>
    <n v="0"/>
    <n v="3"/>
    <x v="0"/>
    <n v="45054"/>
    <x v="0"/>
    <n v="0"/>
  </r>
  <r>
    <n v="56"/>
    <x v="1"/>
    <s v="Travel_Rarely"/>
    <n v="713"/>
    <x v="1"/>
    <n v="8"/>
    <n v="3"/>
    <s v="Life Sciences"/>
    <n v="241"/>
    <n v="3"/>
    <s v="Female"/>
    <n v="67"/>
    <n v="3"/>
    <n v="1"/>
    <x v="1"/>
    <n v="1"/>
    <s v="Divorced"/>
    <n v="4257"/>
    <n v="13939"/>
    <n v="4"/>
    <s v="Yes"/>
    <n v="18"/>
    <n v="3"/>
    <n v="3"/>
    <n v="1"/>
    <n v="19"/>
    <n v="3"/>
    <n v="3"/>
    <n v="2"/>
    <n v="2"/>
    <n v="2"/>
    <n v="2"/>
    <x v="3"/>
    <n v="38313"/>
    <x v="2"/>
    <n v="0"/>
  </r>
  <r>
    <n v="33"/>
    <x v="1"/>
    <s v="Travel_Rarely"/>
    <n v="134"/>
    <x v="1"/>
    <n v="2"/>
    <n v="3"/>
    <s v="Life Sciences"/>
    <n v="242"/>
    <n v="3"/>
    <s v="Male"/>
    <n v="90"/>
    <n v="3"/>
    <n v="1"/>
    <x v="1"/>
    <n v="4"/>
    <s v="Single"/>
    <n v="2500"/>
    <n v="10515"/>
    <n v="0"/>
    <s v="No"/>
    <n v="14"/>
    <n v="3"/>
    <n v="1"/>
    <n v="0"/>
    <n v="4"/>
    <n v="2"/>
    <n v="4"/>
    <n v="3"/>
    <n v="1"/>
    <n v="0"/>
    <n v="2"/>
    <x v="3"/>
    <n v="22500"/>
    <x v="1"/>
    <n v="0"/>
  </r>
  <r>
    <n v="19"/>
    <x v="0"/>
    <s v="Travel_Rarely"/>
    <n v="303"/>
    <x v="1"/>
    <n v="2"/>
    <n v="3"/>
    <s v="Life Sciences"/>
    <n v="243"/>
    <n v="2"/>
    <s v="Male"/>
    <n v="47"/>
    <n v="2"/>
    <n v="1"/>
    <x v="2"/>
    <n v="4"/>
    <s v="Single"/>
    <n v="1102"/>
    <n v="9241"/>
    <n v="1"/>
    <s v="No"/>
    <n v="22"/>
    <n v="4"/>
    <n v="3"/>
    <n v="0"/>
    <n v="1"/>
    <n v="3"/>
    <n v="2"/>
    <n v="1"/>
    <n v="0"/>
    <n v="1"/>
    <n v="0"/>
    <x v="3"/>
    <n v="9918"/>
    <x v="1"/>
    <n v="9918"/>
  </r>
  <r>
    <n v="46"/>
    <x v="1"/>
    <s v="Travel_Rarely"/>
    <n v="526"/>
    <x v="0"/>
    <n v="1"/>
    <n v="2"/>
    <s v="Marketing"/>
    <n v="244"/>
    <n v="2"/>
    <s v="Female"/>
    <n v="92"/>
    <n v="3"/>
    <n v="3"/>
    <x v="0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  <x v="1"/>
    <n v="94077"/>
    <x v="0"/>
    <n v="0"/>
  </r>
  <r>
    <n v="38"/>
    <x v="1"/>
    <s v="Travel_Rarely"/>
    <n v="1380"/>
    <x v="1"/>
    <n v="9"/>
    <n v="2"/>
    <s v="Life Sciences"/>
    <n v="245"/>
    <n v="3"/>
    <s v="Female"/>
    <n v="75"/>
    <n v="3"/>
    <n v="1"/>
    <x v="2"/>
    <n v="4"/>
    <s v="Single"/>
    <n v="2288"/>
    <n v="6319"/>
    <n v="1"/>
    <s v="No"/>
    <n v="12"/>
    <n v="3"/>
    <n v="3"/>
    <n v="0"/>
    <n v="2"/>
    <n v="3"/>
    <n v="3"/>
    <n v="2"/>
    <n v="2"/>
    <n v="2"/>
    <n v="1"/>
    <x v="3"/>
    <n v="20592"/>
    <x v="1"/>
    <n v="0"/>
  </r>
  <r>
    <n v="31"/>
    <x v="1"/>
    <s v="Travel_Rarely"/>
    <n v="140"/>
    <x v="1"/>
    <n v="12"/>
    <n v="1"/>
    <s v="Medical"/>
    <n v="246"/>
    <n v="3"/>
    <s v="Female"/>
    <n v="95"/>
    <n v="3"/>
    <n v="1"/>
    <x v="1"/>
    <n v="4"/>
    <s v="Married"/>
    <n v="3929"/>
    <n v="6984"/>
    <n v="8"/>
    <s v="Yes"/>
    <n v="23"/>
    <n v="4"/>
    <n v="3"/>
    <n v="1"/>
    <n v="7"/>
    <n v="0"/>
    <n v="3"/>
    <n v="4"/>
    <n v="2"/>
    <n v="0"/>
    <n v="2"/>
    <x v="0"/>
    <n v="35361"/>
    <x v="0"/>
    <n v="0"/>
  </r>
  <r>
    <n v="34"/>
    <x v="1"/>
    <s v="Travel_Rarely"/>
    <n v="629"/>
    <x v="1"/>
    <n v="27"/>
    <n v="2"/>
    <s v="Medical"/>
    <n v="247"/>
    <n v="4"/>
    <s v="Female"/>
    <n v="95"/>
    <n v="3"/>
    <n v="1"/>
    <x v="1"/>
    <n v="2"/>
    <s v="Single"/>
    <n v="2311"/>
    <n v="5711"/>
    <n v="2"/>
    <s v="No"/>
    <n v="15"/>
    <n v="3"/>
    <n v="4"/>
    <n v="0"/>
    <n v="9"/>
    <n v="3"/>
    <n v="3"/>
    <n v="3"/>
    <n v="2"/>
    <n v="1"/>
    <n v="2"/>
    <x v="3"/>
    <n v="20799"/>
    <x v="0"/>
    <n v="0"/>
  </r>
  <r>
    <n v="41"/>
    <x v="0"/>
    <s v="Travel_Rarely"/>
    <n v="1356"/>
    <x v="0"/>
    <n v="20"/>
    <n v="2"/>
    <s v="Marketing"/>
    <n v="248"/>
    <n v="2"/>
    <s v="Female"/>
    <n v="70"/>
    <n v="3"/>
    <n v="1"/>
    <x v="6"/>
    <n v="2"/>
    <s v="Single"/>
    <n v="3140"/>
    <n v="21728"/>
    <n v="1"/>
    <s v="Yes"/>
    <n v="22"/>
    <n v="4"/>
    <n v="4"/>
    <n v="0"/>
    <n v="4"/>
    <n v="5"/>
    <n v="2"/>
    <n v="4"/>
    <n v="3"/>
    <n v="0"/>
    <n v="2"/>
    <x v="0"/>
    <n v="28260"/>
    <x v="0"/>
    <n v="28260"/>
  </r>
  <r>
    <n v="50"/>
    <x v="1"/>
    <s v="Travel_Rarely"/>
    <n v="328"/>
    <x v="1"/>
    <n v="1"/>
    <n v="3"/>
    <s v="Medical"/>
    <n v="249"/>
    <n v="3"/>
    <s v="Male"/>
    <n v="86"/>
    <n v="2"/>
    <n v="1"/>
    <x v="2"/>
    <n v="3"/>
    <s v="Married"/>
    <n v="3690"/>
    <n v="3425"/>
    <n v="2"/>
    <s v="No"/>
    <n v="15"/>
    <n v="3"/>
    <n v="4"/>
    <n v="1"/>
    <n v="5"/>
    <n v="2"/>
    <n v="2"/>
    <n v="3"/>
    <n v="2"/>
    <n v="0"/>
    <n v="2"/>
    <x v="3"/>
    <n v="33210"/>
    <x v="1"/>
    <n v="0"/>
  </r>
  <r>
    <n v="53"/>
    <x v="1"/>
    <s v="Travel_Rarely"/>
    <n v="1084"/>
    <x v="1"/>
    <n v="13"/>
    <n v="2"/>
    <s v="Medical"/>
    <n v="250"/>
    <n v="4"/>
    <s v="Female"/>
    <n v="57"/>
    <n v="4"/>
    <n v="2"/>
    <x v="3"/>
    <n v="1"/>
    <s v="Divorced"/>
    <n v="4450"/>
    <n v="26250"/>
    <n v="1"/>
    <s v="No"/>
    <n v="11"/>
    <n v="3"/>
    <n v="3"/>
    <n v="2"/>
    <n v="5"/>
    <n v="3"/>
    <n v="3"/>
    <n v="4"/>
    <n v="2"/>
    <n v="1"/>
    <n v="3"/>
    <x v="0"/>
    <n v="40050"/>
    <x v="0"/>
    <n v="0"/>
  </r>
  <r>
    <n v="33"/>
    <x v="1"/>
    <s v="Travel_Rarely"/>
    <n v="931"/>
    <x v="1"/>
    <n v="14"/>
    <n v="3"/>
    <s v="Medical"/>
    <n v="252"/>
    <n v="4"/>
    <s v="Female"/>
    <n v="72"/>
    <n v="3"/>
    <n v="1"/>
    <x v="1"/>
    <n v="2"/>
    <s v="Married"/>
    <n v="2756"/>
    <n v="4673"/>
    <n v="1"/>
    <s v="No"/>
    <n v="13"/>
    <n v="3"/>
    <n v="4"/>
    <n v="1"/>
    <n v="8"/>
    <n v="5"/>
    <n v="3"/>
    <n v="8"/>
    <n v="7"/>
    <n v="1"/>
    <n v="6"/>
    <x v="1"/>
    <n v="24804"/>
    <x v="0"/>
    <n v="0"/>
  </r>
  <r>
    <n v="40"/>
    <x v="1"/>
    <s v="Travel_Rarely"/>
    <n v="989"/>
    <x v="1"/>
    <n v="4"/>
    <n v="1"/>
    <s v="Medical"/>
    <n v="253"/>
    <n v="4"/>
    <s v="Female"/>
    <n v="46"/>
    <n v="3"/>
    <n v="5"/>
    <x v="5"/>
    <n v="3"/>
    <s v="Married"/>
    <n v="19033"/>
    <n v="6499"/>
    <n v="1"/>
    <s v="No"/>
    <n v="14"/>
    <n v="3"/>
    <n v="2"/>
    <n v="1"/>
    <n v="21"/>
    <n v="2"/>
    <n v="3"/>
    <n v="20"/>
    <n v="8"/>
    <n v="9"/>
    <n v="9"/>
    <x v="1"/>
    <n v="171297"/>
    <x v="1"/>
    <n v="0"/>
  </r>
  <r>
    <n v="55"/>
    <x v="1"/>
    <s v="Travel_Rarely"/>
    <n v="692"/>
    <x v="1"/>
    <n v="14"/>
    <n v="4"/>
    <s v="Medical"/>
    <n v="254"/>
    <n v="3"/>
    <s v="Male"/>
    <n v="61"/>
    <n v="4"/>
    <n v="5"/>
    <x v="7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  <x v="1"/>
    <n v="168498"/>
    <x v="0"/>
    <n v="0"/>
  </r>
  <r>
    <n v="34"/>
    <x v="1"/>
    <s v="Travel_Frequently"/>
    <n v="1069"/>
    <x v="1"/>
    <n v="2"/>
    <n v="1"/>
    <s v="Life Sciences"/>
    <n v="256"/>
    <n v="4"/>
    <s v="Male"/>
    <n v="45"/>
    <n v="2"/>
    <n v="2"/>
    <x v="3"/>
    <n v="3"/>
    <s v="Married"/>
    <n v="9547"/>
    <n v="14074"/>
    <n v="1"/>
    <s v="No"/>
    <n v="17"/>
    <n v="3"/>
    <n v="3"/>
    <n v="0"/>
    <n v="10"/>
    <n v="2"/>
    <n v="2"/>
    <n v="10"/>
    <n v="9"/>
    <n v="1"/>
    <n v="9"/>
    <x v="1"/>
    <n v="85923"/>
    <x v="1"/>
    <n v="0"/>
  </r>
  <r>
    <n v="51"/>
    <x v="1"/>
    <s v="Travel_Rarely"/>
    <n v="313"/>
    <x v="1"/>
    <n v="3"/>
    <n v="3"/>
    <s v="Medical"/>
    <n v="258"/>
    <n v="4"/>
    <s v="Female"/>
    <n v="98"/>
    <n v="3"/>
    <n v="4"/>
    <x v="4"/>
    <n v="2"/>
    <s v="Single"/>
    <n v="13734"/>
    <n v="7192"/>
    <n v="3"/>
    <s v="No"/>
    <n v="18"/>
    <n v="3"/>
    <n v="3"/>
    <n v="0"/>
    <n v="21"/>
    <n v="6"/>
    <n v="3"/>
    <n v="7"/>
    <n v="7"/>
    <n v="1"/>
    <n v="0"/>
    <x v="1"/>
    <n v="123606"/>
    <x v="0"/>
    <n v="0"/>
  </r>
  <r>
    <n v="52"/>
    <x v="1"/>
    <s v="Travel_Rarely"/>
    <n v="699"/>
    <x v="1"/>
    <n v="1"/>
    <n v="4"/>
    <s v="Life Sciences"/>
    <n v="259"/>
    <n v="3"/>
    <s v="Male"/>
    <n v="65"/>
    <n v="2"/>
    <n v="5"/>
    <x v="5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  <x v="1"/>
    <n v="179991"/>
    <x v="1"/>
    <n v="0"/>
  </r>
  <r>
    <n v="27"/>
    <x v="1"/>
    <s v="Travel_Rarely"/>
    <n v="894"/>
    <x v="1"/>
    <n v="9"/>
    <n v="3"/>
    <s v="Medical"/>
    <n v="260"/>
    <n v="4"/>
    <s v="Female"/>
    <n v="99"/>
    <n v="3"/>
    <n v="1"/>
    <x v="1"/>
    <n v="2"/>
    <s v="Single"/>
    <n v="2279"/>
    <n v="11781"/>
    <n v="1"/>
    <s v="No"/>
    <n v="16"/>
    <n v="3"/>
    <n v="4"/>
    <n v="0"/>
    <n v="7"/>
    <n v="2"/>
    <n v="2"/>
    <n v="7"/>
    <n v="7"/>
    <n v="0"/>
    <n v="3"/>
    <x v="1"/>
    <n v="20511"/>
    <x v="0"/>
    <n v="0"/>
  </r>
  <r>
    <n v="35"/>
    <x v="0"/>
    <s v="Travel_Rarely"/>
    <n v="556"/>
    <x v="1"/>
    <n v="23"/>
    <n v="2"/>
    <s v="Life Sciences"/>
    <n v="261"/>
    <n v="2"/>
    <s v="Male"/>
    <n v="50"/>
    <n v="2"/>
    <n v="2"/>
    <x v="3"/>
    <n v="3"/>
    <s v="Married"/>
    <n v="5916"/>
    <n v="15497"/>
    <n v="3"/>
    <s v="Yes"/>
    <n v="13"/>
    <n v="3"/>
    <n v="1"/>
    <n v="0"/>
    <n v="8"/>
    <n v="1"/>
    <n v="3"/>
    <n v="1"/>
    <n v="0"/>
    <n v="0"/>
    <n v="1"/>
    <x v="3"/>
    <n v="53244"/>
    <x v="0"/>
    <n v="53244"/>
  </r>
  <r>
    <n v="43"/>
    <x v="1"/>
    <s v="Non-Travel"/>
    <n v="1344"/>
    <x v="1"/>
    <n v="7"/>
    <n v="3"/>
    <s v="Medical"/>
    <n v="262"/>
    <n v="4"/>
    <s v="Male"/>
    <n v="37"/>
    <n v="4"/>
    <n v="1"/>
    <x v="1"/>
    <n v="4"/>
    <s v="Divorced"/>
    <n v="2089"/>
    <n v="5228"/>
    <n v="4"/>
    <s v="No"/>
    <n v="14"/>
    <n v="3"/>
    <n v="4"/>
    <n v="3"/>
    <n v="7"/>
    <n v="3"/>
    <n v="4"/>
    <n v="5"/>
    <n v="4"/>
    <n v="2"/>
    <n v="2"/>
    <x v="0"/>
    <n v="18801"/>
    <x v="1"/>
    <n v="0"/>
  </r>
  <r>
    <n v="45"/>
    <x v="1"/>
    <s v="Non-Travel"/>
    <n v="1195"/>
    <x v="1"/>
    <n v="2"/>
    <n v="2"/>
    <s v="Medical"/>
    <n v="264"/>
    <n v="1"/>
    <s v="Male"/>
    <n v="65"/>
    <n v="2"/>
    <n v="4"/>
    <x v="5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  <x v="1"/>
    <n v="151128"/>
    <x v="1"/>
    <n v="0"/>
  </r>
  <r>
    <n v="37"/>
    <x v="1"/>
    <s v="Travel_Rarely"/>
    <n v="290"/>
    <x v="1"/>
    <n v="21"/>
    <n v="3"/>
    <s v="Life Sciences"/>
    <n v="267"/>
    <n v="2"/>
    <s v="Male"/>
    <n v="65"/>
    <n v="4"/>
    <n v="1"/>
    <x v="1"/>
    <n v="1"/>
    <s v="Married"/>
    <n v="3564"/>
    <n v="22977"/>
    <n v="1"/>
    <s v="Yes"/>
    <n v="12"/>
    <n v="3"/>
    <n v="1"/>
    <n v="1"/>
    <n v="8"/>
    <n v="3"/>
    <n v="2"/>
    <n v="8"/>
    <n v="7"/>
    <n v="1"/>
    <n v="7"/>
    <x v="1"/>
    <n v="32076"/>
    <x v="0"/>
    <n v="0"/>
  </r>
  <r>
    <n v="35"/>
    <x v="1"/>
    <s v="Travel_Frequently"/>
    <n v="138"/>
    <x v="1"/>
    <n v="2"/>
    <n v="3"/>
    <s v="Medical"/>
    <n v="269"/>
    <n v="2"/>
    <s v="Female"/>
    <n v="37"/>
    <n v="3"/>
    <n v="2"/>
    <x v="2"/>
    <n v="2"/>
    <s v="Single"/>
    <n v="4425"/>
    <n v="15986"/>
    <n v="5"/>
    <s v="No"/>
    <n v="11"/>
    <n v="3"/>
    <n v="4"/>
    <n v="0"/>
    <n v="10"/>
    <n v="5"/>
    <n v="3"/>
    <n v="6"/>
    <n v="2"/>
    <n v="1"/>
    <n v="2"/>
    <x v="0"/>
    <n v="39825"/>
    <x v="0"/>
    <n v="0"/>
  </r>
  <r>
    <n v="42"/>
    <x v="1"/>
    <s v="Non-Travel"/>
    <n v="926"/>
    <x v="1"/>
    <n v="21"/>
    <n v="2"/>
    <s v="Medical"/>
    <n v="270"/>
    <n v="3"/>
    <s v="Female"/>
    <n v="36"/>
    <n v="3"/>
    <n v="2"/>
    <x v="3"/>
    <n v="3"/>
    <s v="Divorced"/>
    <n v="5265"/>
    <n v="16439"/>
    <n v="2"/>
    <s v="No"/>
    <n v="16"/>
    <n v="3"/>
    <n v="2"/>
    <n v="1"/>
    <n v="11"/>
    <n v="5"/>
    <n v="3"/>
    <n v="5"/>
    <n v="3"/>
    <n v="0"/>
    <n v="2"/>
    <x v="0"/>
    <n v="47385"/>
    <x v="1"/>
    <n v="0"/>
  </r>
  <r>
    <n v="38"/>
    <x v="1"/>
    <s v="Travel_Rarely"/>
    <n v="1261"/>
    <x v="1"/>
    <n v="2"/>
    <n v="4"/>
    <s v="Life Sciences"/>
    <n v="271"/>
    <n v="4"/>
    <s v="Male"/>
    <n v="88"/>
    <n v="3"/>
    <n v="2"/>
    <x v="3"/>
    <n v="3"/>
    <s v="Married"/>
    <n v="6553"/>
    <n v="7259"/>
    <n v="9"/>
    <s v="No"/>
    <n v="14"/>
    <n v="3"/>
    <n v="2"/>
    <n v="0"/>
    <n v="14"/>
    <n v="3"/>
    <n v="3"/>
    <n v="1"/>
    <n v="0"/>
    <n v="0"/>
    <n v="0"/>
    <x v="3"/>
    <n v="58977"/>
    <x v="1"/>
    <n v="0"/>
  </r>
  <r>
    <n v="38"/>
    <x v="1"/>
    <s v="Travel_Rarely"/>
    <n v="1084"/>
    <x v="1"/>
    <n v="29"/>
    <n v="3"/>
    <s v="Technical Degree"/>
    <n v="273"/>
    <n v="4"/>
    <s v="Male"/>
    <n v="54"/>
    <n v="3"/>
    <n v="2"/>
    <x v="3"/>
    <n v="4"/>
    <s v="Married"/>
    <n v="6261"/>
    <n v="4185"/>
    <n v="3"/>
    <s v="No"/>
    <n v="18"/>
    <n v="3"/>
    <n v="1"/>
    <n v="1"/>
    <n v="9"/>
    <n v="3"/>
    <n v="1"/>
    <n v="7"/>
    <n v="7"/>
    <n v="1"/>
    <n v="7"/>
    <x v="1"/>
    <n v="56349"/>
    <x v="1"/>
    <n v="0"/>
  </r>
  <r>
    <n v="27"/>
    <x v="1"/>
    <s v="Travel_Frequently"/>
    <n v="472"/>
    <x v="1"/>
    <n v="1"/>
    <n v="1"/>
    <s v="Technical Degree"/>
    <n v="274"/>
    <n v="3"/>
    <s v="Male"/>
    <n v="60"/>
    <n v="2"/>
    <n v="2"/>
    <x v="3"/>
    <n v="1"/>
    <s v="Married"/>
    <n v="4298"/>
    <n v="9679"/>
    <n v="5"/>
    <s v="No"/>
    <n v="19"/>
    <n v="3"/>
    <n v="3"/>
    <n v="1"/>
    <n v="6"/>
    <n v="1"/>
    <n v="3"/>
    <n v="2"/>
    <n v="2"/>
    <n v="2"/>
    <n v="0"/>
    <x v="3"/>
    <n v="38682"/>
    <x v="0"/>
    <n v="0"/>
  </r>
  <r>
    <n v="49"/>
    <x v="1"/>
    <s v="Non-Travel"/>
    <n v="1002"/>
    <x v="1"/>
    <n v="18"/>
    <n v="4"/>
    <s v="Life Sciences"/>
    <n v="275"/>
    <n v="4"/>
    <s v="Male"/>
    <n v="92"/>
    <n v="3"/>
    <n v="2"/>
    <x v="3"/>
    <n v="4"/>
    <s v="Divorced"/>
    <n v="6804"/>
    <n v="23793"/>
    <n v="1"/>
    <s v="Yes"/>
    <n v="15"/>
    <n v="3"/>
    <n v="1"/>
    <n v="2"/>
    <n v="7"/>
    <n v="0"/>
    <n v="3"/>
    <n v="7"/>
    <n v="7"/>
    <n v="1"/>
    <n v="7"/>
    <x v="1"/>
    <n v="61236"/>
    <x v="0"/>
    <n v="0"/>
  </r>
  <r>
    <n v="34"/>
    <x v="1"/>
    <s v="Travel_Frequently"/>
    <n v="878"/>
    <x v="1"/>
    <n v="10"/>
    <n v="4"/>
    <s v="Medical"/>
    <n v="277"/>
    <n v="4"/>
    <s v="Male"/>
    <n v="43"/>
    <n v="3"/>
    <n v="1"/>
    <x v="1"/>
    <n v="3"/>
    <s v="Divorced"/>
    <n v="3815"/>
    <n v="5972"/>
    <n v="1"/>
    <s v="Yes"/>
    <n v="17"/>
    <n v="3"/>
    <n v="4"/>
    <n v="1"/>
    <n v="5"/>
    <n v="4"/>
    <n v="4"/>
    <n v="5"/>
    <n v="3"/>
    <n v="2"/>
    <n v="0"/>
    <x v="0"/>
    <n v="34335"/>
    <x v="0"/>
    <n v="0"/>
  </r>
  <r>
    <n v="40"/>
    <x v="1"/>
    <s v="Travel_Rarely"/>
    <n v="905"/>
    <x v="1"/>
    <n v="19"/>
    <n v="2"/>
    <s v="Medical"/>
    <n v="281"/>
    <n v="3"/>
    <s v="Male"/>
    <n v="99"/>
    <n v="3"/>
    <n v="2"/>
    <x v="2"/>
    <n v="4"/>
    <s v="Married"/>
    <n v="2741"/>
    <n v="16523"/>
    <n v="8"/>
    <s v="Yes"/>
    <n v="15"/>
    <n v="3"/>
    <n v="3"/>
    <n v="1"/>
    <n v="15"/>
    <n v="2"/>
    <n v="4"/>
    <n v="7"/>
    <n v="2"/>
    <n v="3"/>
    <n v="7"/>
    <x v="1"/>
    <n v="24669"/>
    <x v="0"/>
    <n v="0"/>
  </r>
  <r>
    <n v="38"/>
    <x v="0"/>
    <s v="Travel_Rarely"/>
    <n v="1180"/>
    <x v="1"/>
    <n v="29"/>
    <n v="1"/>
    <s v="Medical"/>
    <n v="282"/>
    <n v="2"/>
    <s v="Male"/>
    <n v="70"/>
    <n v="3"/>
    <n v="2"/>
    <x v="4"/>
    <n v="1"/>
    <s v="Married"/>
    <n v="6673"/>
    <n v="11354"/>
    <n v="7"/>
    <s v="Yes"/>
    <n v="19"/>
    <n v="3"/>
    <n v="2"/>
    <n v="0"/>
    <n v="17"/>
    <n v="2"/>
    <n v="3"/>
    <n v="1"/>
    <n v="0"/>
    <n v="0"/>
    <n v="0"/>
    <x v="3"/>
    <n v="60057"/>
    <x v="2"/>
    <n v="60057"/>
  </r>
  <r>
    <n v="29"/>
    <x v="0"/>
    <s v="Travel_Rarely"/>
    <n v="121"/>
    <x v="0"/>
    <n v="27"/>
    <n v="3"/>
    <s v="Marketing"/>
    <n v="283"/>
    <n v="2"/>
    <s v="Female"/>
    <n v="35"/>
    <n v="3"/>
    <n v="3"/>
    <x v="0"/>
    <n v="4"/>
    <s v="Married"/>
    <n v="7639"/>
    <n v="24525"/>
    <n v="1"/>
    <s v="No"/>
    <n v="22"/>
    <n v="4"/>
    <n v="4"/>
    <n v="3"/>
    <n v="10"/>
    <n v="3"/>
    <n v="2"/>
    <n v="10"/>
    <n v="4"/>
    <n v="1"/>
    <n v="9"/>
    <x v="1"/>
    <n v="68751"/>
    <x v="1"/>
    <n v="68751"/>
  </r>
  <r>
    <n v="22"/>
    <x v="1"/>
    <s v="Travel_Rarely"/>
    <n v="1136"/>
    <x v="1"/>
    <n v="5"/>
    <n v="3"/>
    <s v="Life Sciences"/>
    <n v="284"/>
    <n v="4"/>
    <s v="Male"/>
    <n v="60"/>
    <n v="4"/>
    <n v="1"/>
    <x v="1"/>
    <n v="2"/>
    <s v="Divorced"/>
    <n v="2328"/>
    <n v="12392"/>
    <n v="1"/>
    <s v="Yes"/>
    <n v="16"/>
    <n v="3"/>
    <n v="1"/>
    <n v="1"/>
    <n v="4"/>
    <n v="2"/>
    <n v="2"/>
    <n v="4"/>
    <n v="2"/>
    <n v="2"/>
    <n v="2"/>
    <x v="0"/>
    <n v="20952"/>
    <x v="0"/>
    <n v="0"/>
  </r>
  <r>
    <n v="36"/>
    <x v="1"/>
    <s v="Travel_Frequently"/>
    <n v="635"/>
    <x v="1"/>
    <n v="18"/>
    <n v="1"/>
    <s v="Medical"/>
    <n v="286"/>
    <n v="2"/>
    <s v="Female"/>
    <n v="73"/>
    <n v="3"/>
    <n v="1"/>
    <x v="2"/>
    <n v="4"/>
    <s v="Single"/>
    <n v="2153"/>
    <n v="7703"/>
    <n v="1"/>
    <s v="No"/>
    <n v="13"/>
    <n v="3"/>
    <n v="1"/>
    <n v="0"/>
    <n v="8"/>
    <n v="2"/>
    <n v="3"/>
    <n v="8"/>
    <n v="1"/>
    <n v="1"/>
    <n v="7"/>
    <x v="1"/>
    <n v="19377"/>
    <x v="1"/>
    <n v="0"/>
  </r>
  <r>
    <n v="40"/>
    <x v="1"/>
    <s v="Non-Travel"/>
    <n v="1151"/>
    <x v="1"/>
    <n v="9"/>
    <n v="5"/>
    <s v="Life Sciences"/>
    <n v="287"/>
    <n v="4"/>
    <s v="Male"/>
    <n v="63"/>
    <n v="2"/>
    <n v="2"/>
    <x v="4"/>
    <n v="4"/>
    <s v="Married"/>
    <n v="4876"/>
    <n v="14242"/>
    <n v="9"/>
    <s v="No"/>
    <n v="14"/>
    <n v="3"/>
    <n v="4"/>
    <n v="1"/>
    <n v="5"/>
    <n v="5"/>
    <n v="1"/>
    <n v="3"/>
    <n v="2"/>
    <n v="0"/>
    <n v="2"/>
    <x v="3"/>
    <n v="43884"/>
    <x v="1"/>
    <n v="0"/>
  </r>
  <r>
    <n v="46"/>
    <x v="1"/>
    <s v="Travel_Rarely"/>
    <n v="644"/>
    <x v="1"/>
    <n v="1"/>
    <n v="4"/>
    <s v="Medical"/>
    <n v="288"/>
    <n v="4"/>
    <s v="Male"/>
    <n v="97"/>
    <n v="3"/>
    <n v="3"/>
    <x v="4"/>
    <n v="1"/>
    <s v="Divorced"/>
    <n v="9396"/>
    <n v="12368"/>
    <n v="7"/>
    <s v="No"/>
    <n v="16"/>
    <n v="3"/>
    <n v="3"/>
    <n v="1"/>
    <n v="17"/>
    <n v="3"/>
    <n v="3"/>
    <n v="4"/>
    <n v="2"/>
    <n v="0"/>
    <n v="3"/>
    <x v="0"/>
    <n v="84564"/>
    <x v="0"/>
    <n v="0"/>
  </r>
  <r>
    <n v="32"/>
    <x v="0"/>
    <s v="Travel_Rarely"/>
    <n v="1045"/>
    <x v="0"/>
    <n v="4"/>
    <n v="4"/>
    <s v="Medical"/>
    <n v="291"/>
    <n v="4"/>
    <s v="Male"/>
    <n v="32"/>
    <n v="1"/>
    <n v="3"/>
    <x v="0"/>
    <n v="4"/>
    <s v="Married"/>
    <n v="10400"/>
    <n v="25812"/>
    <n v="1"/>
    <s v="No"/>
    <n v="11"/>
    <n v="3"/>
    <n v="3"/>
    <n v="0"/>
    <n v="14"/>
    <n v="2"/>
    <n v="2"/>
    <n v="14"/>
    <n v="8"/>
    <n v="9"/>
    <n v="8"/>
    <x v="1"/>
    <n v="93600"/>
    <x v="1"/>
    <n v="93600"/>
  </r>
  <r>
    <n v="30"/>
    <x v="1"/>
    <s v="Non-Travel"/>
    <n v="829"/>
    <x v="1"/>
    <n v="1"/>
    <n v="1"/>
    <s v="Life Sciences"/>
    <n v="292"/>
    <n v="3"/>
    <s v="Male"/>
    <n v="88"/>
    <n v="2"/>
    <n v="3"/>
    <x v="3"/>
    <n v="3"/>
    <s v="Single"/>
    <n v="8474"/>
    <n v="20925"/>
    <n v="1"/>
    <s v="No"/>
    <n v="22"/>
    <n v="4"/>
    <n v="3"/>
    <n v="0"/>
    <n v="12"/>
    <n v="2"/>
    <n v="3"/>
    <n v="11"/>
    <n v="8"/>
    <n v="5"/>
    <n v="8"/>
    <x v="1"/>
    <n v="76266"/>
    <x v="1"/>
    <n v="0"/>
  </r>
  <r>
    <n v="27"/>
    <x v="1"/>
    <s v="Travel_Frequently"/>
    <n v="1242"/>
    <x v="0"/>
    <n v="20"/>
    <n v="3"/>
    <s v="Life Sciences"/>
    <n v="293"/>
    <n v="4"/>
    <s v="Female"/>
    <n v="90"/>
    <n v="3"/>
    <n v="2"/>
    <x v="0"/>
    <n v="3"/>
    <s v="Single"/>
    <n v="9981"/>
    <n v="12916"/>
    <n v="1"/>
    <s v="No"/>
    <n v="14"/>
    <n v="3"/>
    <n v="4"/>
    <n v="0"/>
    <n v="7"/>
    <n v="2"/>
    <n v="3"/>
    <n v="7"/>
    <n v="7"/>
    <n v="0"/>
    <n v="7"/>
    <x v="1"/>
    <n v="89829"/>
    <x v="1"/>
    <n v="0"/>
  </r>
  <r>
    <n v="51"/>
    <x v="1"/>
    <s v="Travel_Rarely"/>
    <n v="1469"/>
    <x v="1"/>
    <n v="8"/>
    <n v="4"/>
    <s v="Life Sciences"/>
    <n v="296"/>
    <n v="2"/>
    <s v="Male"/>
    <n v="81"/>
    <n v="2"/>
    <n v="3"/>
    <x v="7"/>
    <n v="2"/>
    <s v="Married"/>
    <n v="12490"/>
    <n v="15736"/>
    <n v="5"/>
    <s v="No"/>
    <n v="16"/>
    <n v="3"/>
    <n v="4"/>
    <n v="2"/>
    <n v="16"/>
    <n v="5"/>
    <n v="1"/>
    <n v="10"/>
    <n v="9"/>
    <n v="4"/>
    <n v="7"/>
    <x v="1"/>
    <n v="112410"/>
    <x v="0"/>
    <n v="0"/>
  </r>
  <r>
    <n v="30"/>
    <x v="0"/>
    <s v="Travel_Rarely"/>
    <n v="1005"/>
    <x v="1"/>
    <n v="3"/>
    <n v="3"/>
    <s v="Technical Degree"/>
    <n v="297"/>
    <n v="4"/>
    <s v="Female"/>
    <n v="88"/>
    <n v="3"/>
    <n v="1"/>
    <x v="1"/>
    <n v="1"/>
    <s v="Single"/>
    <n v="2657"/>
    <n v="8556"/>
    <n v="5"/>
    <s v="Yes"/>
    <n v="11"/>
    <n v="3"/>
    <n v="3"/>
    <n v="0"/>
    <n v="8"/>
    <n v="5"/>
    <n v="3"/>
    <n v="5"/>
    <n v="2"/>
    <n v="0"/>
    <n v="4"/>
    <x v="0"/>
    <n v="23913"/>
    <x v="0"/>
    <n v="23913"/>
  </r>
  <r>
    <n v="41"/>
    <x v="1"/>
    <s v="Travel_Rarely"/>
    <n v="896"/>
    <x v="0"/>
    <n v="6"/>
    <n v="3"/>
    <s v="Life Sciences"/>
    <n v="298"/>
    <n v="4"/>
    <s v="Female"/>
    <n v="75"/>
    <n v="3"/>
    <n v="3"/>
    <x v="5"/>
    <n v="4"/>
    <s v="Single"/>
    <n v="13591"/>
    <n v="14674"/>
    <n v="3"/>
    <s v="Yes"/>
    <n v="18"/>
    <n v="3"/>
    <n v="3"/>
    <n v="0"/>
    <n v="16"/>
    <n v="3"/>
    <n v="3"/>
    <n v="1"/>
    <n v="0"/>
    <n v="0"/>
    <n v="0"/>
    <x v="3"/>
    <n v="122319"/>
    <x v="0"/>
    <n v="0"/>
  </r>
  <r>
    <n v="30"/>
    <x v="0"/>
    <s v="Travel_Frequently"/>
    <n v="334"/>
    <x v="0"/>
    <n v="26"/>
    <n v="4"/>
    <s v="Marketing"/>
    <n v="299"/>
    <n v="3"/>
    <s v="Female"/>
    <n v="52"/>
    <n v="2"/>
    <n v="2"/>
    <x v="0"/>
    <n v="1"/>
    <s v="Single"/>
    <n v="6696"/>
    <n v="22967"/>
    <n v="5"/>
    <s v="No"/>
    <n v="15"/>
    <n v="3"/>
    <n v="3"/>
    <n v="0"/>
    <n v="9"/>
    <n v="5"/>
    <n v="2"/>
    <n v="6"/>
    <n v="3"/>
    <n v="0"/>
    <n v="1"/>
    <x v="0"/>
    <n v="60264"/>
    <x v="0"/>
    <n v="60264"/>
  </r>
  <r>
    <n v="29"/>
    <x v="0"/>
    <s v="Travel_Rarely"/>
    <n v="992"/>
    <x v="1"/>
    <n v="1"/>
    <n v="3"/>
    <s v="Technical Degree"/>
    <n v="300"/>
    <n v="3"/>
    <s v="Male"/>
    <n v="85"/>
    <n v="3"/>
    <n v="1"/>
    <x v="1"/>
    <n v="3"/>
    <s v="Single"/>
    <n v="2058"/>
    <n v="19757"/>
    <n v="0"/>
    <s v="No"/>
    <n v="14"/>
    <n v="3"/>
    <n v="4"/>
    <n v="0"/>
    <n v="7"/>
    <n v="1"/>
    <n v="2"/>
    <n v="6"/>
    <n v="2"/>
    <n v="1"/>
    <n v="5"/>
    <x v="0"/>
    <n v="18522"/>
    <x v="1"/>
    <n v="18522"/>
  </r>
  <r>
    <n v="45"/>
    <x v="1"/>
    <s v="Non-Travel"/>
    <n v="1052"/>
    <x v="0"/>
    <n v="6"/>
    <n v="3"/>
    <s v="Medical"/>
    <n v="302"/>
    <n v="4"/>
    <s v="Female"/>
    <n v="57"/>
    <n v="2"/>
    <n v="3"/>
    <x v="0"/>
    <n v="4"/>
    <s v="Single"/>
    <n v="8865"/>
    <n v="16840"/>
    <n v="6"/>
    <s v="No"/>
    <n v="12"/>
    <n v="3"/>
    <n v="4"/>
    <n v="0"/>
    <n v="23"/>
    <n v="2"/>
    <n v="3"/>
    <n v="19"/>
    <n v="7"/>
    <n v="12"/>
    <n v="8"/>
    <x v="1"/>
    <n v="79785"/>
    <x v="1"/>
    <n v="0"/>
  </r>
  <r>
    <n v="54"/>
    <x v="1"/>
    <s v="Travel_Rarely"/>
    <n v="1147"/>
    <x v="0"/>
    <n v="3"/>
    <n v="3"/>
    <s v="Marketing"/>
    <n v="303"/>
    <n v="4"/>
    <s v="Female"/>
    <n v="52"/>
    <n v="3"/>
    <n v="2"/>
    <x v="0"/>
    <n v="1"/>
    <s v="Married"/>
    <n v="5940"/>
    <n v="17011"/>
    <n v="2"/>
    <s v="No"/>
    <n v="14"/>
    <n v="3"/>
    <n v="4"/>
    <n v="1"/>
    <n v="16"/>
    <n v="4"/>
    <n v="3"/>
    <n v="6"/>
    <n v="2"/>
    <n v="0"/>
    <n v="5"/>
    <x v="0"/>
    <n v="53460"/>
    <x v="0"/>
    <n v="0"/>
  </r>
  <r>
    <n v="36"/>
    <x v="1"/>
    <s v="Travel_Rarely"/>
    <n v="1396"/>
    <x v="1"/>
    <n v="5"/>
    <n v="2"/>
    <s v="Life Sciences"/>
    <n v="304"/>
    <n v="4"/>
    <s v="Male"/>
    <n v="62"/>
    <n v="3"/>
    <n v="2"/>
    <x v="2"/>
    <n v="2"/>
    <s v="Single"/>
    <n v="5914"/>
    <n v="9945"/>
    <n v="8"/>
    <s v="No"/>
    <n v="16"/>
    <n v="3"/>
    <n v="4"/>
    <n v="0"/>
    <n v="16"/>
    <n v="3"/>
    <n v="4"/>
    <n v="13"/>
    <n v="11"/>
    <n v="3"/>
    <n v="7"/>
    <x v="1"/>
    <n v="53226"/>
    <x v="0"/>
    <n v="0"/>
  </r>
  <r>
    <n v="33"/>
    <x v="1"/>
    <s v="Travel_Rarely"/>
    <n v="147"/>
    <x v="1"/>
    <n v="4"/>
    <n v="4"/>
    <s v="Medical"/>
    <n v="305"/>
    <n v="3"/>
    <s v="Female"/>
    <n v="47"/>
    <n v="2"/>
    <n v="1"/>
    <x v="1"/>
    <n v="2"/>
    <s v="Married"/>
    <n v="2622"/>
    <n v="13248"/>
    <n v="6"/>
    <s v="No"/>
    <n v="21"/>
    <n v="4"/>
    <n v="4"/>
    <n v="0"/>
    <n v="7"/>
    <n v="3"/>
    <n v="3"/>
    <n v="3"/>
    <n v="2"/>
    <n v="1"/>
    <n v="1"/>
    <x v="3"/>
    <n v="23598"/>
    <x v="0"/>
    <n v="0"/>
  </r>
  <r>
    <n v="37"/>
    <x v="1"/>
    <s v="Travel_Frequently"/>
    <n v="663"/>
    <x v="1"/>
    <n v="11"/>
    <n v="3"/>
    <s v="Other"/>
    <n v="306"/>
    <n v="2"/>
    <s v="Male"/>
    <n v="47"/>
    <n v="3"/>
    <n v="3"/>
    <x v="7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  <x v="1"/>
    <n v="109665"/>
    <x v="0"/>
    <n v="0"/>
  </r>
  <r>
    <n v="38"/>
    <x v="1"/>
    <s v="Travel_Rarely"/>
    <n v="119"/>
    <x v="0"/>
    <n v="3"/>
    <n v="3"/>
    <s v="Life Sciences"/>
    <n v="307"/>
    <n v="1"/>
    <s v="Male"/>
    <n v="76"/>
    <n v="3"/>
    <n v="3"/>
    <x v="0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  <x v="1"/>
    <n v="95481"/>
    <x v="1"/>
    <n v="0"/>
  </r>
  <r>
    <n v="31"/>
    <x v="1"/>
    <s v="Non-Travel"/>
    <n v="979"/>
    <x v="1"/>
    <n v="1"/>
    <n v="4"/>
    <s v="Medical"/>
    <n v="308"/>
    <n v="3"/>
    <s v="Male"/>
    <n v="90"/>
    <n v="1"/>
    <n v="2"/>
    <x v="3"/>
    <n v="3"/>
    <s v="Married"/>
    <n v="4345"/>
    <n v="4381"/>
    <n v="0"/>
    <s v="No"/>
    <n v="12"/>
    <n v="3"/>
    <n v="4"/>
    <n v="1"/>
    <n v="6"/>
    <n v="2"/>
    <n v="3"/>
    <n v="5"/>
    <n v="4"/>
    <n v="1"/>
    <n v="4"/>
    <x v="0"/>
    <n v="39105"/>
    <x v="1"/>
    <n v="0"/>
  </r>
  <r>
    <n v="59"/>
    <x v="1"/>
    <s v="Travel_Rarely"/>
    <n v="142"/>
    <x v="1"/>
    <n v="3"/>
    <n v="3"/>
    <s v="Life Sciences"/>
    <n v="309"/>
    <n v="3"/>
    <s v="Male"/>
    <n v="70"/>
    <n v="2"/>
    <n v="1"/>
    <x v="1"/>
    <n v="4"/>
    <s v="Married"/>
    <n v="2177"/>
    <n v="8456"/>
    <n v="3"/>
    <s v="No"/>
    <n v="17"/>
    <n v="3"/>
    <n v="1"/>
    <n v="1"/>
    <n v="7"/>
    <n v="6"/>
    <n v="3"/>
    <n v="1"/>
    <n v="0"/>
    <n v="0"/>
    <n v="0"/>
    <x v="3"/>
    <n v="19593"/>
    <x v="1"/>
    <n v="0"/>
  </r>
  <r>
    <n v="37"/>
    <x v="1"/>
    <s v="Travel_Frequently"/>
    <n v="319"/>
    <x v="0"/>
    <n v="4"/>
    <n v="4"/>
    <s v="Marketing"/>
    <n v="311"/>
    <n v="1"/>
    <s v="Male"/>
    <n v="41"/>
    <n v="3"/>
    <n v="1"/>
    <x v="6"/>
    <n v="4"/>
    <s v="Divorced"/>
    <n v="2793"/>
    <n v="2539"/>
    <n v="4"/>
    <s v="No"/>
    <n v="17"/>
    <n v="3"/>
    <n v="3"/>
    <n v="1"/>
    <n v="13"/>
    <n v="2"/>
    <n v="3"/>
    <n v="9"/>
    <n v="8"/>
    <n v="5"/>
    <n v="8"/>
    <x v="1"/>
    <n v="25137"/>
    <x v="1"/>
    <n v="0"/>
  </r>
  <r>
    <n v="29"/>
    <x v="1"/>
    <s v="Travel_Frequently"/>
    <n v="1413"/>
    <x v="0"/>
    <n v="1"/>
    <n v="1"/>
    <s v="Medical"/>
    <n v="312"/>
    <n v="2"/>
    <s v="Female"/>
    <n v="42"/>
    <n v="3"/>
    <n v="3"/>
    <x v="0"/>
    <n v="4"/>
    <s v="Married"/>
    <n v="7918"/>
    <n v="6599"/>
    <n v="1"/>
    <s v="No"/>
    <n v="14"/>
    <n v="3"/>
    <n v="4"/>
    <n v="1"/>
    <n v="11"/>
    <n v="5"/>
    <n v="3"/>
    <n v="11"/>
    <n v="10"/>
    <n v="4"/>
    <n v="1"/>
    <x v="1"/>
    <n v="71262"/>
    <x v="1"/>
    <n v="0"/>
  </r>
  <r>
    <n v="35"/>
    <x v="1"/>
    <s v="Travel_Frequently"/>
    <n v="944"/>
    <x v="0"/>
    <n v="1"/>
    <n v="3"/>
    <s v="Marketing"/>
    <n v="314"/>
    <n v="3"/>
    <s v="Female"/>
    <n v="92"/>
    <n v="3"/>
    <n v="3"/>
    <x v="0"/>
    <n v="3"/>
    <s v="Single"/>
    <n v="8789"/>
    <n v="9096"/>
    <n v="1"/>
    <s v="No"/>
    <n v="14"/>
    <n v="3"/>
    <n v="1"/>
    <n v="0"/>
    <n v="10"/>
    <n v="3"/>
    <n v="4"/>
    <n v="10"/>
    <n v="7"/>
    <n v="0"/>
    <n v="8"/>
    <x v="1"/>
    <n v="79101"/>
    <x v="1"/>
    <n v="0"/>
  </r>
  <r>
    <n v="29"/>
    <x v="0"/>
    <s v="Travel_Rarely"/>
    <n v="896"/>
    <x v="1"/>
    <n v="18"/>
    <n v="1"/>
    <s v="Medical"/>
    <n v="315"/>
    <n v="3"/>
    <s v="Male"/>
    <n v="86"/>
    <n v="2"/>
    <n v="1"/>
    <x v="1"/>
    <n v="4"/>
    <s v="Single"/>
    <n v="2389"/>
    <n v="14961"/>
    <n v="1"/>
    <s v="Yes"/>
    <n v="13"/>
    <n v="3"/>
    <n v="3"/>
    <n v="0"/>
    <n v="4"/>
    <n v="3"/>
    <n v="2"/>
    <n v="4"/>
    <n v="3"/>
    <n v="0"/>
    <n v="1"/>
    <x v="0"/>
    <n v="21501"/>
    <x v="0"/>
    <n v="21501"/>
  </r>
  <r>
    <n v="52"/>
    <x v="1"/>
    <s v="Travel_Rarely"/>
    <n v="1323"/>
    <x v="1"/>
    <n v="2"/>
    <n v="3"/>
    <s v="Life Sciences"/>
    <n v="316"/>
    <n v="3"/>
    <s v="Female"/>
    <n v="89"/>
    <n v="2"/>
    <n v="1"/>
    <x v="2"/>
    <n v="4"/>
    <s v="Single"/>
    <n v="3212"/>
    <n v="3300"/>
    <n v="7"/>
    <s v="No"/>
    <n v="15"/>
    <n v="3"/>
    <n v="2"/>
    <n v="0"/>
    <n v="6"/>
    <n v="3"/>
    <n v="2"/>
    <n v="2"/>
    <n v="2"/>
    <n v="2"/>
    <n v="2"/>
    <x v="3"/>
    <n v="28908"/>
    <x v="1"/>
    <n v="0"/>
  </r>
  <r>
    <n v="42"/>
    <x v="1"/>
    <s v="Travel_Rarely"/>
    <n v="532"/>
    <x v="1"/>
    <n v="4"/>
    <n v="2"/>
    <s v="Technical Degree"/>
    <n v="319"/>
    <n v="3"/>
    <s v="Male"/>
    <n v="58"/>
    <n v="3"/>
    <n v="5"/>
    <x v="5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  <x v="1"/>
    <n v="173088"/>
    <x v="1"/>
    <n v="0"/>
  </r>
  <r>
    <n v="59"/>
    <x v="1"/>
    <s v="Travel_Rarely"/>
    <n v="818"/>
    <x v="2"/>
    <n v="6"/>
    <n v="2"/>
    <s v="Medical"/>
    <n v="321"/>
    <n v="2"/>
    <s v="Male"/>
    <n v="52"/>
    <n v="3"/>
    <n v="1"/>
    <x v="8"/>
    <n v="3"/>
    <s v="Married"/>
    <n v="2267"/>
    <n v="25657"/>
    <n v="8"/>
    <s v="No"/>
    <n v="17"/>
    <n v="3"/>
    <n v="4"/>
    <n v="0"/>
    <n v="7"/>
    <n v="2"/>
    <n v="2"/>
    <n v="2"/>
    <n v="2"/>
    <n v="2"/>
    <n v="2"/>
    <x v="3"/>
    <n v="20403"/>
    <x v="1"/>
    <n v="0"/>
  </r>
  <r>
    <n v="50"/>
    <x v="1"/>
    <s v="Travel_Rarely"/>
    <n v="854"/>
    <x v="0"/>
    <n v="1"/>
    <n v="4"/>
    <s v="Medical"/>
    <n v="323"/>
    <n v="4"/>
    <s v="Female"/>
    <n v="68"/>
    <n v="3"/>
    <n v="5"/>
    <x v="5"/>
    <n v="4"/>
    <s v="Divorced"/>
    <n v="19517"/>
    <n v="24118"/>
    <n v="3"/>
    <s v="No"/>
    <n v="11"/>
    <n v="3"/>
    <n v="3"/>
    <n v="1"/>
    <n v="32"/>
    <n v="3"/>
    <n v="2"/>
    <n v="7"/>
    <n v="0"/>
    <n v="0"/>
    <n v="6"/>
    <x v="1"/>
    <n v="175653"/>
    <x v="1"/>
    <n v="0"/>
  </r>
  <r>
    <n v="33"/>
    <x v="0"/>
    <s v="Travel_Rarely"/>
    <n v="813"/>
    <x v="1"/>
    <n v="14"/>
    <n v="3"/>
    <s v="Medical"/>
    <n v="325"/>
    <n v="3"/>
    <s v="Male"/>
    <n v="58"/>
    <n v="3"/>
    <n v="1"/>
    <x v="2"/>
    <n v="4"/>
    <s v="Married"/>
    <n v="2436"/>
    <n v="22149"/>
    <n v="5"/>
    <s v="Yes"/>
    <n v="13"/>
    <n v="3"/>
    <n v="3"/>
    <n v="1"/>
    <n v="8"/>
    <n v="2"/>
    <n v="1"/>
    <n v="5"/>
    <n v="4"/>
    <n v="0"/>
    <n v="4"/>
    <x v="0"/>
    <n v="21924"/>
    <x v="0"/>
    <n v="21924"/>
  </r>
  <r>
    <n v="43"/>
    <x v="1"/>
    <s v="Travel_Rarely"/>
    <n v="1034"/>
    <x v="0"/>
    <n v="16"/>
    <n v="3"/>
    <s v="Marketing"/>
    <n v="327"/>
    <n v="4"/>
    <s v="Female"/>
    <n v="80"/>
    <n v="3"/>
    <n v="4"/>
    <x v="5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  <x v="1"/>
    <n v="144576"/>
    <x v="0"/>
    <n v="0"/>
  </r>
  <r>
    <n v="33"/>
    <x v="0"/>
    <s v="Travel_Rarely"/>
    <n v="465"/>
    <x v="1"/>
    <n v="2"/>
    <n v="2"/>
    <s v="Life Sciences"/>
    <n v="328"/>
    <n v="1"/>
    <s v="Female"/>
    <n v="39"/>
    <n v="3"/>
    <n v="1"/>
    <x v="2"/>
    <n v="1"/>
    <s v="Married"/>
    <n v="2707"/>
    <n v="21509"/>
    <n v="7"/>
    <s v="No"/>
    <n v="20"/>
    <n v="4"/>
    <n v="1"/>
    <n v="0"/>
    <n v="13"/>
    <n v="3"/>
    <n v="4"/>
    <n v="9"/>
    <n v="7"/>
    <n v="1"/>
    <n v="7"/>
    <x v="1"/>
    <n v="24363"/>
    <x v="0"/>
    <n v="24363"/>
  </r>
  <r>
    <n v="52"/>
    <x v="1"/>
    <s v="Non-Travel"/>
    <n v="771"/>
    <x v="0"/>
    <n v="2"/>
    <n v="4"/>
    <s v="Life Sciences"/>
    <n v="329"/>
    <n v="1"/>
    <s v="Male"/>
    <n v="79"/>
    <n v="2"/>
    <n v="5"/>
    <x v="5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  <x v="1"/>
    <n v="171612"/>
    <x v="0"/>
    <n v="0"/>
  </r>
  <r>
    <n v="32"/>
    <x v="1"/>
    <s v="Travel_Rarely"/>
    <n v="1401"/>
    <x v="0"/>
    <n v="4"/>
    <n v="2"/>
    <s v="Life Sciences"/>
    <n v="330"/>
    <n v="3"/>
    <s v="Female"/>
    <n v="56"/>
    <n v="3"/>
    <n v="1"/>
    <x v="6"/>
    <n v="2"/>
    <s v="Married"/>
    <n v="3931"/>
    <n v="20990"/>
    <n v="2"/>
    <s v="No"/>
    <n v="11"/>
    <n v="3"/>
    <n v="1"/>
    <n v="1"/>
    <n v="6"/>
    <n v="5"/>
    <n v="3"/>
    <n v="4"/>
    <n v="3"/>
    <n v="1"/>
    <n v="2"/>
    <x v="0"/>
    <n v="35379"/>
    <x v="0"/>
    <n v="0"/>
  </r>
  <r>
    <n v="32"/>
    <x v="0"/>
    <s v="Travel_Rarely"/>
    <n v="515"/>
    <x v="1"/>
    <n v="1"/>
    <n v="3"/>
    <s v="Life Sciences"/>
    <n v="331"/>
    <n v="4"/>
    <s v="Male"/>
    <n v="62"/>
    <n v="2"/>
    <n v="1"/>
    <x v="2"/>
    <n v="3"/>
    <s v="Single"/>
    <n v="3730"/>
    <n v="9571"/>
    <n v="0"/>
    <s v="Yes"/>
    <n v="14"/>
    <n v="3"/>
    <n v="4"/>
    <n v="0"/>
    <n v="4"/>
    <n v="2"/>
    <n v="1"/>
    <n v="3"/>
    <n v="2"/>
    <n v="1"/>
    <n v="2"/>
    <x v="3"/>
    <n v="33570"/>
    <x v="0"/>
    <n v="33570"/>
  </r>
  <r>
    <n v="39"/>
    <x v="1"/>
    <s v="Travel_Rarely"/>
    <n v="1431"/>
    <x v="1"/>
    <n v="1"/>
    <n v="4"/>
    <s v="Medical"/>
    <n v="332"/>
    <n v="3"/>
    <s v="Female"/>
    <n v="96"/>
    <n v="3"/>
    <n v="1"/>
    <x v="2"/>
    <n v="3"/>
    <s v="Divorced"/>
    <n v="2232"/>
    <n v="15417"/>
    <n v="7"/>
    <s v="No"/>
    <n v="14"/>
    <n v="3"/>
    <n v="3"/>
    <n v="3"/>
    <n v="7"/>
    <n v="1"/>
    <n v="3"/>
    <n v="3"/>
    <n v="2"/>
    <n v="1"/>
    <n v="2"/>
    <x v="3"/>
    <n v="20088"/>
    <x v="1"/>
    <n v="0"/>
  </r>
  <r>
    <n v="32"/>
    <x v="1"/>
    <s v="Non-Travel"/>
    <n v="976"/>
    <x v="0"/>
    <n v="26"/>
    <n v="4"/>
    <s v="Marketing"/>
    <n v="333"/>
    <n v="3"/>
    <s v="Male"/>
    <n v="100"/>
    <n v="3"/>
    <n v="2"/>
    <x v="0"/>
    <n v="4"/>
    <s v="Married"/>
    <n v="4465"/>
    <n v="12069"/>
    <n v="0"/>
    <s v="No"/>
    <n v="18"/>
    <n v="3"/>
    <n v="1"/>
    <n v="0"/>
    <n v="4"/>
    <n v="2"/>
    <n v="3"/>
    <n v="3"/>
    <n v="2"/>
    <n v="2"/>
    <n v="2"/>
    <x v="3"/>
    <n v="40185"/>
    <x v="1"/>
    <n v="0"/>
  </r>
  <r>
    <n v="41"/>
    <x v="1"/>
    <s v="Travel_Rarely"/>
    <n v="1411"/>
    <x v="1"/>
    <n v="19"/>
    <n v="2"/>
    <s v="Life Sciences"/>
    <n v="334"/>
    <n v="3"/>
    <s v="Male"/>
    <n v="36"/>
    <n v="3"/>
    <n v="2"/>
    <x v="1"/>
    <n v="1"/>
    <s v="Divorced"/>
    <n v="3072"/>
    <n v="19877"/>
    <n v="2"/>
    <s v="No"/>
    <n v="16"/>
    <n v="3"/>
    <n v="1"/>
    <n v="2"/>
    <n v="17"/>
    <n v="2"/>
    <n v="2"/>
    <n v="1"/>
    <n v="0"/>
    <n v="0"/>
    <n v="0"/>
    <x v="3"/>
    <n v="27648"/>
    <x v="0"/>
    <n v="0"/>
  </r>
  <r>
    <n v="40"/>
    <x v="1"/>
    <s v="Travel_Rarely"/>
    <n v="1300"/>
    <x v="1"/>
    <n v="24"/>
    <n v="2"/>
    <s v="Technical Degree"/>
    <n v="335"/>
    <n v="1"/>
    <s v="Male"/>
    <n v="62"/>
    <n v="3"/>
    <n v="2"/>
    <x v="1"/>
    <n v="4"/>
    <s v="Divorced"/>
    <n v="3319"/>
    <n v="24447"/>
    <n v="1"/>
    <s v="No"/>
    <n v="17"/>
    <n v="3"/>
    <n v="1"/>
    <n v="2"/>
    <n v="9"/>
    <n v="3"/>
    <n v="3"/>
    <n v="9"/>
    <n v="8"/>
    <n v="4"/>
    <n v="7"/>
    <x v="1"/>
    <n v="29871"/>
    <x v="1"/>
    <n v="0"/>
  </r>
  <r>
    <n v="45"/>
    <x v="1"/>
    <s v="Travel_Rarely"/>
    <n v="252"/>
    <x v="1"/>
    <n v="1"/>
    <n v="3"/>
    <s v="Other"/>
    <n v="336"/>
    <n v="3"/>
    <s v="Male"/>
    <n v="70"/>
    <n v="4"/>
    <n v="5"/>
    <x v="5"/>
    <n v="4"/>
    <s v="Married"/>
    <n v="19202"/>
    <n v="15970"/>
    <n v="0"/>
    <s v="No"/>
    <n v="11"/>
    <n v="3"/>
    <n v="3"/>
    <n v="1"/>
    <n v="25"/>
    <n v="2"/>
    <n v="3"/>
    <n v="24"/>
    <n v="0"/>
    <n v="1"/>
    <n v="7"/>
    <x v="1"/>
    <n v="172818"/>
    <x v="1"/>
    <n v="0"/>
  </r>
  <r>
    <n v="31"/>
    <x v="1"/>
    <s v="Travel_Frequently"/>
    <n v="1327"/>
    <x v="1"/>
    <n v="3"/>
    <n v="4"/>
    <s v="Medical"/>
    <n v="337"/>
    <n v="2"/>
    <s v="Male"/>
    <n v="73"/>
    <n v="3"/>
    <n v="3"/>
    <x v="7"/>
    <n v="3"/>
    <s v="Divorced"/>
    <n v="13675"/>
    <n v="13523"/>
    <n v="9"/>
    <s v="No"/>
    <n v="12"/>
    <n v="3"/>
    <n v="1"/>
    <n v="1"/>
    <n v="9"/>
    <n v="3"/>
    <n v="3"/>
    <n v="2"/>
    <n v="2"/>
    <n v="2"/>
    <n v="2"/>
    <x v="3"/>
    <n v="123075"/>
    <x v="1"/>
    <n v="0"/>
  </r>
  <r>
    <n v="33"/>
    <x v="1"/>
    <s v="Travel_Rarely"/>
    <n v="832"/>
    <x v="1"/>
    <n v="5"/>
    <n v="4"/>
    <s v="Life Sciences"/>
    <n v="338"/>
    <n v="3"/>
    <s v="Female"/>
    <n v="63"/>
    <n v="2"/>
    <n v="1"/>
    <x v="1"/>
    <n v="4"/>
    <s v="Married"/>
    <n v="2911"/>
    <n v="14776"/>
    <n v="1"/>
    <s v="No"/>
    <n v="13"/>
    <n v="3"/>
    <n v="3"/>
    <n v="1"/>
    <n v="2"/>
    <n v="2"/>
    <n v="2"/>
    <n v="2"/>
    <n v="2"/>
    <n v="0"/>
    <n v="2"/>
    <x v="3"/>
    <n v="26199"/>
    <x v="1"/>
    <n v="0"/>
  </r>
  <r>
    <n v="34"/>
    <x v="1"/>
    <s v="Travel_Rarely"/>
    <n v="470"/>
    <x v="1"/>
    <n v="2"/>
    <n v="4"/>
    <s v="Life Sciences"/>
    <n v="339"/>
    <n v="4"/>
    <s v="Male"/>
    <n v="84"/>
    <n v="2"/>
    <n v="2"/>
    <x v="3"/>
    <n v="1"/>
    <s v="Married"/>
    <n v="5957"/>
    <n v="23687"/>
    <n v="6"/>
    <s v="No"/>
    <n v="13"/>
    <n v="3"/>
    <n v="2"/>
    <n v="1"/>
    <n v="13"/>
    <n v="3"/>
    <n v="3"/>
    <n v="11"/>
    <n v="9"/>
    <n v="5"/>
    <n v="9"/>
    <x v="1"/>
    <n v="53613"/>
    <x v="0"/>
    <n v="0"/>
  </r>
  <r>
    <n v="37"/>
    <x v="1"/>
    <s v="Travel_Rarely"/>
    <n v="1017"/>
    <x v="1"/>
    <n v="1"/>
    <n v="2"/>
    <s v="Medical"/>
    <n v="340"/>
    <n v="3"/>
    <s v="Female"/>
    <n v="83"/>
    <n v="2"/>
    <n v="1"/>
    <x v="1"/>
    <n v="1"/>
    <s v="Married"/>
    <n v="3920"/>
    <n v="18697"/>
    <n v="2"/>
    <s v="No"/>
    <n v="14"/>
    <n v="3"/>
    <n v="1"/>
    <n v="1"/>
    <n v="17"/>
    <n v="2"/>
    <n v="2"/>
    <n v="3"/>
    <n v="1"/>
    <n v="0"/>
    <n v="2"/>
    <x v="3"/>
    <n v="35280"/>
    <x v="0"/>
    <n v="0"/>
  </r>
  <r>
    <n v="45"/>
    <x v="1"/>
    <s v="Travel_Frequently"/>
    <n v="1199"/>
    <x v="1"/>
    <n v="7"/>
    <n v="4"/>
    <s v="Life Sciences"/>
    <n v="341"/>
    <n v="1"/>
    <s v="Male"/>
    <n v="77"/>
    <n v="4"/>
    <n v="2"/>
    <x v="3"/>
    <n v="3"/>
    <s v="Married"/>
    <n v="6434"/>
    <n v="5118"/>
    <n v="4"/>
    <s v="No"/>
    <n v="17"/>
    <n v="3"/>
    <n v="4"/>
    <n v="1"/>
    <n v="9"/>
    <n v="1"/>
    <n v="3"/>
    <n v="3"/>
    <n v="2"/>
    <n v="0"/>
    <n v="2"/>
    <x v="3"/>
    <n v="57906"/>
    <x v="1"/>
    <n v="0"/>
  </r>
  <r>
    <n v="37"/>
    <x v="0"/>
    <s v="Travel_Frequently"/>
    <n v="504"/>
    <x v="1"/>
    <n v="10"/>
    <n v="3"/>
    <s v="Medical"/>
    <n v="342"/>
    <n v="1"/>
    <s v="Male"/>
    <n v="61"/>
    <n v="3"/>
    <n v="3"/>
    <x v="3"/>
    <n v="3"/>
    <s v="Divorced"/>
    <n v="10048"/>
    <n v="22573"/>
    <n v="6"/>
    <s v="No"/>
    <n v="11"/>
    <n v="3"/>
    <n v="2"/>
    <n v="2"/>
    <n v="17"/>
    <n v="5"/>
    <n v="3"/>
    <n v="1"/>
    <n v="0"/>
    <n v="0"/>
    <n v="0"/>
    <x v="3"/>
    <n v="90432"/>
    <x v="1"/>
    <n v="90432"/>
  </r>
  <r>
    <n v="39"/>
    <x v="1"/>
    <s v="Travel_Frequently"/>
    <n v="505"/>
    <x v="1"/>
    <n v="2"/>
    <n v="4"/>
    <s v="Technical Degree"/>
    <n v="343"/>
    <n v="3"/>
    <s v="Female"/>
    <n v="64"/>
    <n v="3"/>
    <n v="3"/>
    <x v="4"/>
    <n v="3"/>
    <s v="Single"/>
    <n v="10938"/>
    <n v="6420"/>
    <n v="0"/>
    <s v="No"/>
    <n v="25"/>
    <n v="4"/>
    <n v="4"/>
    <n v="0"/>
    <n v="20"/>
    <n v="1"/>
    <n v="3"/>
    <n v="19"/>
    <n v="6"/>
    <n v="11"/>
    <n v="8"/>
    <x v="1"/>
    <n v="98442"/>
    <x v="1"/>
    <n v="0"/>
  </r>
  <r>
    <n v="29"/>
    <x v="1"/>
    <s v="Travel_Rarely"/>
    <n v="665"/>
    <x v="1"/>
    <n v="15"/>
    <n v="3"/>
    <s v="Life Sciences"/>
    <n v="346"/>
    <n v="3"/>
    <s v="Male"/>
    <n v="60"/>
    <n v="3"/>
    <n v="1"/>
    <x v="1"/>
    <n v="4"/>
    <s v="Single"/>
    <n v="2340"/>
    <n v="22673"/>
    <n v="1"/>
    <s v="No"/>
    <n v="19"/>
    <n v="3"/>
    <n v="1"/>
    <n v="0"/>
    <n v="6"/>
    <n v="1"/>
    <n v="3"/>
    <n v="6"/>
    <n v="5"/>
    <n v="1"/>
    <n v="5"/>
    <x v="0"/>
    <n v="21060"/>
    <x v="1"/>
    <n v="0"/>
  </r>
  <r>
    <n v="42"/>
    <x v="1"/>
    <s v="Travel_Rarely"/>
    <n v="916"/>
    <x v="1"/>
    <n v="17"/>
    <n v="2"/>
    <s v="Life Sciences"/>
    <n v="347"/>
    <n v="4"/>
    <s v="Female"/>
    <n v="82"/>
    <n v="4"/>
    <n v="2"/>
    <x v="1"/>
    <n v="1"/>
    <s v="Single"/>
    <n v="6545"/>
    <n v="23016"/>
    <n v="3"/>
    <s v="Yes"/>
    <n v="13"/>
    <n v="3"/>
    <n v="3"/>
    <n v="0"/>
    <n v="10"/>
    <n v="1"/>
    <n v="3"/>
    <n v="3"/>
    <n v="2"/>
    <n v="0"/>
    <n v="2"/>
    <x v="3"/>
    <n v="58905"/>
    <x v="2"/>
    <n v="0"/>
  </r>
  <r>
    <n v="29"/>
    <x v="1"/>
    <s v="Travel_Rarely"/>
    <n v="1247"/>
    <x v="0"/>
    <n v="20"/>
    <n v="2"/>
    <s v="Marketing"/>
    <n v="349"/>
    <n v="4"/>
    <s v="Male"/>
    <n v="45"/>
    <n v="3"/>
    <n v="2"/>
    <x v="0"/>
    <n v="4"/>
    <s v="Divorced"/>
    <n v="6931"/>
    <n v="10732"/>
    <n v="2"/>
    <s v="No"/>
    <n v="14"/>
    <n v="3"/>
    <n v="4"/>
    <n v="1"/>
    <n v="10"/>
    <n v="2"/>
    <n v="3"/>
    <n v="3"/>
    <n v="2"/>
    <n v="0"/>
    <n v="2"/>
    <x v="3"/>
    <n v="62379"/>
    <x v="1"/>
    <n v="0"/>
  </r>
  <r>
    <n v="25"/>
    <x v="1"/>
    <s v="Travel_Rarely"/>
    <n v="685"/>
    <x v="1"/>
    <n v="1"/>
    <n v="3"/>
    <s v="Life Sciences"/>
    <n v="350"/>
    <n v="1"/>
    <s v="Female"/>
    <n v="62"/>
    <n v="3"/>
    <n v="2"/>
    <x v="3"/>
    <n v="3"/>
    <s v="Married"/>
    <n v="4898"/>
    <n v="7505"/>
    <n v="0"/>
    <s v="No"/>
    <n v="12"/>
    <n v="3"/>
    <n v="4"/>
    <n v="2"/>
    <n v="5"/>
    <n v="3"/>
    <n v="3"/>
    <n v="4"/>
    <n v="2"/>
    <n v="1"/>
    <n v="2"/>
    <x v="0"/>
    <n v="44082"/>
    <x v="1"/>
    <n v="0"/>
  </r>
  <r>
    <n v="42"/>
    <x v="1"/>
    <s v="Travel_Rarely"/>
    <n v="269"/>
    <x v="1"/>
    <n v="2"/>
    <n v="3"/>
    <s v="Medical"/>
    <n v="351"/>
    <n v="4"/>
    <s v="Female"/>
    <n v="56"/>
    <n v="2"/>
    <n v="1"/>
    <x v="2"/>
    <n v="1"/>
    <s v="Divorced"/>
    <n v="2593"/>
    <n v="8007"/>
    <n v="0"/>
    <s v="Yes"/>
    <n v="11"/>
    <n v="3"/>
    <n v="3"/>
    <n v="1"/>
    <n v="10"/>
    <n v="4"/>
    <n v="3"/>
    <n v="9"/>
    <n v="6"/>
    <n v="7"/>
    <n v="8"/>
    <x v="1"/>
    <n v="23337"/>
    <x v="0"/>
    <n v="0"/>
  </r>
  <r>
    <n v="40"/>
    <x v="1"/>
    <s v="Travel_Rarely"/>
    <n v="1416"/>
    <x v="1"/>
    <n v="2"/>
    <n v="2"/>
    <s v="Medical"/>
    <n v="352"/>
    <n v="1"/>
    <s v="Male"/>
    <n v="49"/>
    <n v="3"/>
    <n v="5"/>
    <x v="7"/>
    <n v="3"/>
    <s v="Divorced"/>
    <n v="19436"/>
    <n v="5949"/>
    <n v="0"/>
    <s v="No"/>
    <n v="19"/>
    <n v="3"/>
    <n v="4"/>
    <n v="1"/>
    <n v="22"/>
    <n v="5"/>
    <n v="3"/>
    <n v="21"/>
    <n v="7"/>
    <n v="3"/>
    <n v="9"/>
    <x v="1"/>
    <n v="174924"/>
    <x v="1"/>
    <n v="0"/>
  </r>
  <r>
    <n v="51"/>
    <x v="1"/>
    <s v="Travel_Rarely"/>
    <n v="833"/>
    <x v="1"/>
    <n v="1"/>
    <n v="3"/>
    <s v="Life Sciences"/>
    <n v="353"/>
    <n v="3"/>
    <s v="Male"/>
    <n v="96"/>
    <n v="3"/>
    <n v="1"/>
    <x v="1"/>
    <n v="4"/>
    <s v="Married"/>
    <n v="2723"/>
    <n v="23231"/>
    <n v="1"/>
    <s v="No"/>
    <n v="11"/>
    <n v="3"/>
    <n v="2"/>
    <n v="0"/>
    <n v="1"/>
    <n v="0"/>
    <n v="2"/>
    <n v="1"/>
    <n v="0"/>
    <n v="0"/>
    <n v="0"/>
    <x v="3"/>
    <n v="24507"/>
    <x v="1"/>
    <n v="0"/>
  </r>
  <r>
    <n v="31"/>
    <x v="0"/>
    <s v="Travel_Frequently"/>
    <n v="307"/>
    <x v="1"/>
    <n v="29"/>
    <n v="2"/>
    <s v="Medical"/>
    <n v="355"/>
    <n v="3"/>
    <s v="Male"/>
    <n v="71"/>
    <n v="2"/>
    <n v="1"/>
    <x v="2"/>
    <n v="2"/>
    <s v="Single"/>
    <n v="3479"/>
    <n v="11652"/>
    <n v="0"/>
    <s v="No"/>
    <n v="11"/>
    <n v="3"/>
    <n v="2"/>
    <n v="0"/>
    <n v="6"/>
    <n v="2"/>
    <n v="4"/>
    <n v="5"/>
    <n v="4"/>
    <n v="1"/>
    <n v="4"/>
    <x v="0"/>
    <n v="31311"/>
    <x v="0"/>
    <n v="31311"/>
  </r>
  <r>
    <n v="32"/>
    <x v="1"/>
    <s v="Travel_Frequently"/>
    <n v="1311"/>
    <x v="1"/>
    <n v="7"/>
    <n v="3"/>
    <s v="Life Sciences"/>
    <n v="359"/>
    <n v="2"/>
    <s v="Male"/>
    <n v="100"/>
    <n v="4"/>
    <n v="1"/>
    <x v="2"/>
    <n v="2"/>
    <s v="Married"/>
    <n v="2794"/>
    <n v="26062"/>
    <n v="1"/>
    <s v="No"/>
    <n v="20"/>
    <n v="4"/>
    <n v="3"/>
    <n v="0"/>
    <n v="5"/>
    <n v="3"/>
    <n v="1"/>
    <n v="5"/>
    <n v="1"/>
    <n v="0"/>
    <n v="3"/>
    <x v="0"/>
    <n v="25146"/>
    <x v="0"/>
    <n v="0"/>
  </r>
  <r>
    <n v="38"/>
    <x v="1"/>
    <s v="Non-Travel"/>
    <n v="1327"/>
    <x v="0"/>
    <n v="2"/>
    <n v="2"/>
    <s v="Life Sciences"/>
    <n v="361"/>
    <n v="4"/>
    <s v="Male"/>
    <n v="39"/>
    <n v="2"/>
    <n v="2"/>
    <x v="0"/>
    <n v="4"/>
    <s v="Married"/>
    <n v="5249"/>
    <n v="19682"/>
    <n v="3"/>
    <s v="No"/>
    <n v="18"/>
    <n v="3"/>
    <n v="4"/>
    <n v="1"/>
    <n v="13"/>
    <n v="0"/>
    <n v="3"/>
    <n v="8"/>
    <n v="7"/>
    <n v="7"/>
    <n v="5"/>
    <x v="1"/>
    <n v="47241"/>
    <x v="1"/>
    <n v="0"/>
  </r>
  <r>
    <n v="32"/>
    <x v="1"/>
    <s v="Travel_Rarely"/>
    <n v="128"/>
    <x v="1"/>
    <n v="2"/>
    <n v="1"/>
    <s v="Technical Degree"/>
    <n v="362"/>
    <n v="4"/>
    <s v="Male"/>
    <n v="84"/>
    <n v="2"/>
    <n v="2"/>
    <x v="2"/>
    <n v="1"/>
    <s v="Single"/>
    <n v="2176"/>
    <n v="19737"/>
    <n v="4"/>
    <s v="No"/>
    <n v="13"/>
    <n v="3"/>
    <n v="4"/>
    <n v="0"/>
    <n v="9"/>
    <n v="5"/>
    <n v="3"/>
    <n v="6"/>
    <n v="2"/>
    <n v="0"/>
    <n v="4"/>
    <x v="0"/>
    <n v="19584"/>
    <x v="0"/>
    <n v="0"/>
  </r>
  <r>
    <n v="46"/>
    <x v="1"/>
    <s v="Travel_Rarely"/>
    <n v="488"/>
    <x v="0"/>
    <n v="2"/>
    <n v="3"/>
    <s v="Technical Degree"/>
    <n v="363"/>
    <n v="3"/>
    <s v="Female"/>
    <n v="75"/>
    <n v="1"/>
    <n v="4"/>
    <x v="5"/>
    <n v="2"/>
    <s v="Married"/>
    <n v="16872"/>
    <n v="14977"/>
    <n v="3"/>
    <s v="Yes"/>
    <n v="12"/>
    <n v="3"/>
    <n v="2"/>
    <n v="1"/>
    <n v="28"/>
    <n v="2"/>
    <n v="2"/>
    <n v="7"/>
    <n v="7"/>
    <n v="7"/>
    <n v="7"/>
    <x v="1"/>
    <n v="151848"/>
    <x v="0"/>
    <n v="0"/>
  </r>
  <r>
    <n v="28"/>
    <x v="0"/>
    <s v="Travel_Rarely"/>
    <n v="529"/>
    <x v="1"/>
    <n v="2"/>
    <n v="4"/>
    <s v="Life Sciences"/>
    <n v="364"/>
    <n v="1"/>
    <s v="Male"/>
    <n v="79"/>
    <n v="3"/>
    <n v="1"/>
    <x v="2"/>
    <n v="3"/>
    <s v="Single"/>
    <n v="3485"/>
    <n v="14935"/>
    <n v="2"/>
    <s v="No"/>
    <n v="11"/>
    <n v="3"/>
    <n v="3"/>
    <n v="0"/>
    <n v="5"/>
    <n v="5"/>
    <n v="1"/>
    <n v="0"/>
    <n v="0"/>
    <n v="0"/>
    <n v="0"/>
    <x v="2"/>
    <n v="31365"/>
    <x v="1"/>
    <n v="31365"/>
  </r>
  <r>
    <n v="29"/>
    <x v="1"/>
    <s v="Travel_Rarely"/>
    <n v="1210"/>
    <x v="0"/>
    <n v="2"/>
    <n v="3"/>
    <s v="Medical"/>
    <n v="366"/>
    <n v="1"/>
    <s v="Male"/>
    <n v="78"/>
    <n v="2"/>
    <n v="2"/>
    <x v="0"/>
    <n v="2"/>
    <s v="Married"/>
    <n v="6644"/>
    <n v="3687"/>
    <n v="2"/>
    <s v="No"/>
    <n v="19"/>
    <n v="3"/>
    <n v="2"/>
    <n v="2"/>
    <n v="10"/>
    <n v="2"/>
    <n v="3"/>
    <n v="0"/>
    <n v="0"/>
    <n v="0"/>
    <n v="0"/>
    <x v="2"/>
    <n v="59796"/>
    <x v="0"/>
    <n v="0"/>
  </r>
  <r>
    <n v="31"/>
    <x v="1"/>
    <s v="Travel_Rarely"/>
    <n v="1463"/>
    <x v="1"/>
    <n v="23"/>
    <n v="3"/>
    <s v="Medical"/>
    <n v="367"/>
    <n v="2"/>
    <s v="Male"/>
    <n v="64"/>
    <n v="2"/>
    <n v="2"/>
    <x v="4"/>
    <n v="4"/>
    <s v="Married"/>
    <n v="5582"/>
    <n v="14408"/>
    <n v="0"/>
    <s v="No"/>
    <n v="21"/>
    <n v="4"/>
    <n v="2"/>
    <n v="1"/>
    <n v="10"/>
    <n v="2"/>
    <n v="3"/>
    <n v="9"/>
    <n v="0"/>
    <n v="7"/>
    <n v="8"/>
    <x v="1"/>
    <n v="50238"/>
    <x v="1"/>
    <n v="0"/>
  </r>
  <r>
    <n v="25"/>
    <x v="1"/>
    <s v="Non-Travel"/>
    <n v="675"/>
    <x v="1"/>
    <n v="5"/>
    <n v="2"/>
    <s v="Life Sciences"/>
    <n v="369"/>
    <n v="2"/>
    <s v="Male"/>
    <n v="85"/>
    <n v="4"/>
    <n v="2"/>
    <x v="4"/>
    <n v="1"/>
    <s v="Divorced"/>
    <n v="4000"/>
    <n v="18384"/>
    <n v="1"/>
    <s v="No"/>
    <n v="12"/>
    <n v="3"/>
    <n v="4"/>
    <n v="2"/>
    <n v="6"/>
    <n v="2"/>
    <n v="3"/>
    <n v="6"/>
    <n v="3"/>
    <n v="1"/>
    <n v="5"/>
    <x v="0"/>
    <n v="36000"/>
    <x v="0"/>
    <n v="0"/>
  </r>
  <r>
    <n v="45"/>
    <x v="1"/>
    <s v="Travel_Rarely"/>
    <n v="1385"/>
    <x v="1"/>
    <n v="20"/>
    <n v="2"/>
    <s v="Medical"/>
    <n v="372"/>
    <n v="3"/>
    <s v="Male"/>
    <n v="79"/>
    <n v="3"/>
    <n v="4"/>
    <x v="4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  <x v="1"/>
    <n v="121464"/>
    <x v="0"/>
    <n v="0"/>
  </r>
  <r>
    <n v="36"/>
    <x v="1"/>
    <s v="Travel_Rarely"/>
    <n v="1403"/>
    <x v="1"/>
    <n v="6"/>
    <n v="3"/>
    <s v="Life Sciences"/>
    <n v="373"/>
    <n v="4"/>
    <s v="Male"/>
    <n v="47"/>
    <n v="3"/>
    <n v="1"/>
    <x v="2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  <x v="1"/>
    <n v="28890"/>
    <x v="1"/>
    <n v="0"/>
  </r>
  <r>
    <n v="55"/>
    <x v="1"/>
    <s v="Travel_Rarely"/>
    <n v="452"/>
    <x v="1"/>
    <n v="1"/>
    <n v="3"/>
    <s v="Medical"/>
    <n v="374"/>
    <n v="4"/>
    <s v="Male"/>
    <n v="81"/>
    <n v="3"/>
    <n v="5"/>
    <x v="5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  <x v="1"/>
    <n v="171405"/>
    <x v="0"/>
    <n v="0"/>
  </r>
  <r>
    <n v="47"/>
    <x v="0"/>
    <s v="Non-Travel"/>
    <n v="666"/>
    <x v="1"/>
    <n v="29"/>
    <n v="4"/>
    <s v="Life Sciences"/>
    <n v="376"/>
    <n v="1"/>
    <s v="Male"/>
    <n v="88"/>
    <n v="3"/>
    <n v="3"/>
    <x v="5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  <x v="1"/>
    <n v="106641"/>
    <x v="0"/>
    <n v="106641"/>
  </r>
  <r>
    <n v="28"/>
    <x v="1"/>
    <s v="Travel_Rarely"/>
    <n v="1158"/>
    <x v="1"/>
    <n v="9"/>
    <n v="3"/>
    <s v="Medical"/>
    <n v="377"/>
    <n v="4"/>
    <s v="Male"/>
    <n v="94"/>
    <n v="3"/>
    <n v="1"/>
    <x v="1"/>
    <n v="4"/>
    <s v="Married"/>
    <n v="2070"/>
    <n v="2613"/>
    <n v="1"/>
    <s v="No"/>
    <n v="23"/>
    <n v="4"/>
    <n v="4"/>
    <n v="1"/>
    <n v="5"/>
    <n v="3"/>
    <n v="2"/>
    <n v="5"/>
    <n v="2"/>
    <n v="0"/>
    <n v="4"/>
    <x v="0"/>
    <n v="18630"/>
    <x v="1"/>
    <n v="0"/>
  </r>
  <r>
    <n v="37"/>
    <x v="1"/>
    <s v="Travel_Rarely"/>
    <n v="228"/>
    <x v="0"/>
    <n v="6"/>
    <n v="4"/>
    <s v="Medical"/>
    <n v="378"/>
    <n v="3"/>
    <s v="Male"/>
    <n v="98"/>
    <n v="3"/>
    <n v="2"/>
    <x v="0"/>
    <n v="4"/>
    <s v="Married"/>
    <n v="6502"/>
    <n v="22825"/>
    <n v="4"/>
    <s v="No"/>
    <n v="14"/>
    <n v="3"/>
    <n v="2"/>
    <n v="1"/>
    <n v="7"/>
    <n v="5"/>
    <n v="4"/>
    <n v="5"/>
    <n v="4"/>
    <n v="0"/>
    <n v="1"/>
    <x v="0"/>
    <n v="58518"/>
    <x v="1"/>
    <n v="0"/>
  </r>
  <r>
    <n v="21"/>
    <x v="1"/>
    <s v="Travel_Rarely"/>
    <n v="996"/>
    <x v="1"/>
    <n v="3"/>
    <n v="2"/>
    <s v="Medical"/>
    <n v="379"/>
    <n v="4"/>
    <s v="Male"/>
    <n v="100"/>
    <n v="2"/>
    <n v="1"/>
    <x v="1"/>
    <n v="3"/>
    <s v="Single"/>
    <n v="3230"/>
    <n v="10531"/>
    <n v="1"/>
    <s v="No"/>
    <n v="17"/>
    <n v="3"/>
    <n v="1"/>
    <n v="0"/>
    <n v="3"/>
    <n v="4"/>
    <n v="4"/>
    <n v="3"/>
    <n v="2"/>
    <n v="1"/>
    <n v="0"/>
    <x v="3"/>
    <n v="29070"/>
    <x v="1"/>
    <n v="0"/>
  </r>
  <r>
    <n v="37"/>
    <x v="1"/>
    <s v="Non-Travel"/>
    <n v="728"/>
    <x v="1"/>
    <n v="1"/>
    <n v="4"/>
    <s v="Medical"/>
    <n v="380"/>
    <n v="1"/>
    <s v="Female"/>
    <n v="80"/>
    <n v="3"/>
    <n v="3"/>
    <x v="7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  <x v="0"/>
    <n v="122427"/>
    <x v="0"/>
    <n v="0"/>
  </r>
  <r>
    <n v="35"/>
    <x v="1"/>
    <s v="Travel_Rarely"/>
    <n v="1315"/>
    <x v="1"/>
    <n v="22"/>
    <n v="3"/>
    <s v="Life Sciences"/>
    <n v="381"/>
    <n v="2"/>
    <s v="Female"/>
    <n v="71"/>
    <n v="4"/>
    <n v="3"/>
    <x v="5"/>
    <n v="2"/>
    <s v="Divorced"/>
    <n v="11996"/>
    <n v="19100"/>
    <n v="7"/>
    <s v="No"/>
    <n v="18"/>
    <n v="3"/>
    <n v="2"/>
    <n v="1"/>
    <n v="10"/>
    <n v="6"/>
    <n v="2"/>
    <n v="7"/>
    <n v="7"/>
    <n v="6"/>
    <n v="2"/>
    <x v="1"/>
    <n v="107964"/>
    <x v="0"/>
    <n v="0"/>
  </r>
  <r>
    <n v="38"/>
    <x v="1"/>
    <s v="Travel_Rarely"/>
    <n v="322"/>
    <x v="0"/>
    <n v="7"/>
    <n v="2"/>
    <s v="Medical"/>
    <n v="382"/>
    <n v="1"/>
    <s v="Female"/>
    <n v="44"/>
    <n v="4"/>
    <n v="2"/>
    <x v="0"/>
    <n v="1"/>
    <s v="Divorced"/>
    <n v="5605"/>
    <n v="19191"/>
    <n v="1"/>
    <s v="Yes"/>
    <n v="24"/>
    <n v="4"/>
    <n v="3"/>
    <n v="1"/>
    <n v="8"/>
    <n v="3"/>
    <n v="3"/>
    <n v="8"/>
    <n v="0"/>
    <n v="7"/>
    <n v="7"/>
    <x v="1"/>
    <n v="50445"/>
    <x v="0"/>
    <n v="0"/>
  </r>
  <r>
    <n v="26"/>
    <x v="1"/>
    <s v="Travel_Frequently"/>
    <n v="1479"/>
    <x v="1"/>
    <n v="1"/>
    <n v="3"/>
    <s v="Life Sciences"/>
    <n v="384"/>
    <n v="3"/>
    <s v="Female"/>
    <n v="84"/>
    <n v="3"/>
    <n v="2"/>
    <x v="3"/>
    <n v="2"/>
    <s v="Divorced"/>
    <n v="6397"/>
    <n v="26767"/>
    <n v="1"/>
    <s v="No"/>
    <n v="20"/>
    <n v="4"/>
    <n v="1"/>
    <n v="1"/>
    <n v="6"/>
    <n v="6"/>
    <n v="1"/>
    <n v="6"/>
    <n v="5"/>
    <n v="1"/>
    <n v="4"/>
    <x v="0"/>
    <n v="57573"/>
    <x v="0"/>
    <n v="0"/>
  </r>
  <r>
    <n v="50"/>
    <x v="1"/>
    <s v="Travel_Rarely"/>
    <n v="797"/>
    <x v="1"/>
    <n v="4"/>
    <n v="1"/>
    <s v="Life Sciences"/>
    <n v="385"/>
    <n v="1"/>
    <s v="Male"/>
    <n v="96"/>
    <n v="3"/>
    <n v="5"/>
    <x v="7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  <x v="1"/>
    <n v="172296"/>
    <x v="0"/>
    <n v="0"/>
  </r>
  <r>
    <n v="53"/>
    <x v="1"/>
    <s v="Travel_Rarely"/>
    <n v="1070"/>
    <x v="1"/>
    <n v="3"/>
    <n v="4"/>
    <s v="Medical"/>
    <n v="386"/>
    <n v="3"/>
    <s v="Male"/>
    <n v="45"/>
    <n v="3"/>
    <n v="4"/>
    <x v="7"/>
    <n v="3"/>
    <s v="Married"/>
    <n v="17584"/>
    <n v="21016"/>
    <n v="3"/>
    <s v="Yes"/>
    <n v="16"/>
    <n v="3"/>
    <n v="4"/>
    <n v="3"/>
    <n v="21"/>
    <n v="5"/>
    <n v="2"/>
    <n v="5"/>
    <n v="3"/>
    <n v="1"/>
    <n v="3"/>
    <x v="0"/>
    <n v="158256"/>
    <x v="0"/>
    <n v="0"/>
  </r>
  <r>
    <n v="42"/>
    <x v="1"/>
    <s v="Travel_Rarely"/>
    <n v="635"/>
    <x v="0"/>
    <n v="1"/>
    <n v="1"/>
    <s v="Life Sciences"/>
    <n v="387"/>
    <n v="2"/>
    <s v="Male"/>
    <n v="99"/>
    <n v="3"/>
    <n v="2"/>
    <x v="0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  <x v="1"/>
    <n v="44163"/>
    <x v="1"/>
    <n v="0"/>
  </r>
  <r>
    <n v="29"/>
    <x v="1"/>
    <s v="Travel_Frequently"/>
    <n v="442"/>
    <x v="0"/>
    <n v="2"/>
    <n v="2"/>
    <s v="Life Sciences"/>
    <n v="388"/>
    <n v="2"/>
    <s v="Male"/>
    <n v="44"/>
    <n v="3"/>
    <n v="2"/>
    <x v="0"/>
    <n v="4"/>
    <s v="Single"/>
    <n v="4554"/>
    <n v="20260"/>
    <n v="1"/>
    <s v="No"/>
    <n v="18"/>
    <n v="3"/>
    <n v="1"/>
    <n v="0"/>
    <n v="10"/>
    <n v="3"/>
    <n v="2"/>
    <n v="10"/>
    <n v="7"/>
    <n v="0"/>
    <n v="9"/>
    <x v="1"/>
    <n v="40986"/>
    <x v="1"/>
    <n v="0"/>
  </r>
  <r>
    <n v="55"/>
    <x v="1"/>
    <s v="Travel_Rarely"/>
    <n v="147"/>
    <x v="1"/>
    <n v="20"/>
    <n v="2"/>
    <s v="Technical Degree"/>
    <n v="389"/>
    <n v="2"/>
    <s v="Male"/>
    <n v="37"/>
    <n v="3"/>
    <n v="2"/>
    <x v="2"/>
    <n v="4"/>
    <s v="Married"/>
    <n v="5415"/>
    <n v="15972"/>
    <n v="3"/>
    <s v="Yes"/>
    <n v="19"/>
    <n v="3"/>
    <n v="4"/>
    <n v="1"/>
    <n v="12"/>
    <n v="4"/>
    <n v="3"/>
    <n v="10"/>
    <n v="7"/>
    <n v="0"/>
    <n v="8"/>
    <x v="1"/>
    <n v="48735"/>
    <x v="0"/>
    <n v="0"/>
  </r>
  <r>
    <n v="26"/>
    <x v="1"/>
    <s v="Travel_Frequently"/>
    <n v="496"/>
    <x v="1"/>
    <n v="11"/>
    <n v="2"/>
    <s v="Medical"/>
    <n v="390"/>
    <n v="1"/>
    <s v="Male"/>
    <n v="60"/>
    <n v="3"/>
    <n v="2"/>
    <x v="4"/>
    <n v="1"/>
    <s v="Married"/>
    <n v="4741"/>
    <n v="22722"/>
    <n v="1"/>
    <s v="Yes"/>
    <n v="13"/>
    <n v="3"/>
    <n v="3"/>
    <n v="1"/>
    <n v="5"/>
    <n v="3"/>
    <n v="3"/>
    <n v="5"/>
    <n v="3"/>
    <n v="3"/>
    <n v="3"/>
    <x v="0"/>
    <n v="42669"/>
    <x v="0"/>
    <n v="0"/>
  </r>
  <r>
    <n v="37"/>
    <x v="1"/>
    <s v="Travel_Rarely"/>
    <n v="1372"/>
    <x v="1"/>
    <n v="1"/>
    <n v="3"/>
    <s v="Life Sciences"/>
    <n v="391"/>
    <n v="4"/>
    <s v="Female"/>
    <n v="42"/>
    <n v="3"/>
    <n v="1"/>
    <x v="1"/>
    <n v="4"/>
    <s v="Single"/>
    <n v="2115"/>
    <n v="15881"/>
    <n v="1"/>
    <s v="No"/>
    <n v="12"/>
    <n v="3"/>
    <n v="2"/>
    <n v="0"/>
    <n v="17"/>
    <n v="3"/>
    <n v="3"/>
    <n v="17"/>
    <n v="12"/>
    <n v="5"/>
    <n v="7"/>
    <x v="1"/>
    <n v="19035"/>
    <x v="1"/>
    <n v="0"/>
  </r>
  <r>
    <n v="44"/>
    <x v="0"/>
    <s v="Travel_Frequently"/>
    <n v="920"/>
    <x v="1"/>
    <n v="24"/>
    <n v="3"/>
    <s v="Life Sciences"/>
    <n v="392"/>
    <n v="4"/>
    <s v="Male"/>
    <n v="43"/>
    <n v="3"/>
    <n v="1"/>
    <x v="2"/>
    <n v="3"/>
    <s v="Divorced"/>
    <n v="3161"/>
    <n v="19920"/>
    <n v="3"/>
    <s v="Yes"/>
    <n v="22"/>
    <n v="4"/>
    <n v="4"/>
    <n v="1"/>
    <n v="19"/>
    <n v="0"/>
    <n v="1"/>
    <n v="1"/>
    <n v="0"/>
    <n v="0"/>
    <n v="0"/>
    <x v="3"/>
    <n v="28449"/>
    <x v="0"/>
    <n v="28449"/>
  </r>
  <r>
    <n v="38"/>
    <x v="1"/>
    <s v="Travel_Rarely"/>
    <n v="688"/>
    <x v="1"/>
    <n v="23"/>
    <n v="4"/>
    <s v="Life Sciences"/>
    <n v="393"/>
    <n v="4"/>
    <s v="Male"/>
    <n v="82"/>
    <n v="3"/>
    <n v="2"/>
    <x v="4"/>
    <n v="4"/>
    <s v="Divorced"/>
    <n v="5745"/>
    <n v="18899"/>
    <n v="9"/>
    <s v="No"/>
    <n v="14"/>
    <n v="3"/>
    <n v="2"/>
    <n v="1"/>
    <n v="10"/>
    <n v="2"/>
    <n v="3"/>
    <n v="2"/>
    <n v="2"/>
    <n v="1"/>
    <n v="2"/>
    <x v="3"/>
    <n v="51705"/>
    <x v="1"/>
    <n v="0"/>
  </r>
  <r>
    <n v="26"/>
    <x v="0"/>
    <s v="Travel_Rarely"/>
    <n v="1449"/>
    <x v="1"/>
    <n v="16"/>
    <n v="4"/>
    <s v="Medical"/>
    <n v="394"/>
    <n v="1"/>
    <s v="Male"/>
    <n v="45"/>
    <n v="3"/>
    <n v="1"/>
    <x v="2"/>
    <n v="2"/>
    <s v="Divorced"/>
    <n v="2373"/>
    <n v="14180"/>
    <n v="2"/>
    <s v="Yes"/>
    <n v="13"/>
    <n v="3"/>
    <n v="4"/>
    <n v="1"/>
    <n v="5"/>
    <n v="2"/>
    <n v="3"/>
    <n v="3"/>
    <n v="2"/>
    <n v="0"/>
    <n v="2"/>
    <x v="3"/>
    <n v="21357"/>
    <x v="2"/>
    <n v="21357"/>
  </r>
  <r>
    <n v="28"/>
    <x v="1"/>
    <s v="Travel_Rarely"/>
    <n v="1117"/>
    <x v="1"/>
    <n v="8"/>
    <n v="2"/>
    <s v="Life Sciences"/>
    <n v="395"/>
    <n v="4"/>
    <s v="Female"/>
    <n v="66"/>
    <n v="3"/>
    <n v="1"/>
    <x v="1"/>
    <n v="4"/>
    <s v="Single"/>
    <n v="3310"/>
    <n v="4488"/>
    <n v="1"/>
    <s v="No"/>
    <n v="21"/>
    <n v="4"/>
    <n v="4"/>
    <n v="0"/>
    <n v="5"/>
    <n v="3"/>
    <n v="3"/>
    <n v="5"/>
    <n v="3"/>
    <n v="0"/>
    <n v="2"/>
    <x v="0"/>
    <n v="29790"/>
    <x v="1"/>
    <n v="0"/>
  </r>
  <r>
    <n v="49"/>
    <x v="1"/>
    <s v="Travel_Frequently"/>
    <n v="636"/>
    <x v="1"/>
    <n v="10"/>
    <n v="4"/>
    <s v="Life Sciences"/>
    <n v="396"/>
    <n v="3"/>
    <s v="Female"/>
    <n v="35"/>
    <n v="3"/>
    <n v="5"/>
    <x v="7"/>
    <n v="1"/>
    <s v="Single"/>
    <n v="18665"/>
    <n v="25594"/>
    <n v="9"/>
    <s v="Yes"/>
    <n v="11"/>
    <n v="3"/>
    <n v="4"/>
    <n v="0"/>
    <n v="22"/>
    <n v="4"/>
    <n v="3"/>
    <n v="3"/>
    <n v="2"/>
    <n v="1"/>
    <n v="2"/>
    <x v="3"/>
    <n v="167985"/>
    <x v="2"/>
    <n v="0"/>
  </r>
  <r>
    <n v="36"/>
    <x v="1"/>
    <s v="Travel_Rarely"/>
    <n v="506"/>
    <x v="1"/>
    <n v="3"/>
    <n v="3"/>
    <s v="Technical Degree"/>
    <n v="397"/>
    <n v="3"/>
    <s v="Male"/>
    <n v="30"/>
    <n v="3"/>
    <n v="2"/>
    <x v="1"/>
    <n v="2"/>
    <s v="Single"/>
    <n v="4485"/>
    <n v="26285"/>
    <n v="4"/>
    <s v="No"/>
    <n v="12"/>
    <n v="3"/>
    <n v="4"/>
    <n v="0"/>
    <n v="10"/>
    <n v="2"/>
    <n v="3"/>
    <n v="8"/>
    <n v="0"/>
    <n v="7"/>
    <n v="7"/>
    <x v="1"/>
    <n v="40365"/>
    <x v="0"/>
    <n v="0"/>
  </r>
  <r>
    <n v="31"/>
    <x v="1"/>
    <s v="Travel_Frequently"/>
    <n v="444"/>
    <x v="0"/>
    <n v="5"/>
    <n v="3"/>
    <s v="Marketing"/>
    <n v="399"/>
    <n v="4"/>
    <s v="Female"/>
    <n v="84"/>
    <n v="3"/>
    <n v="1"/>
    <x v="6"/>
    <n v="2"/>
    <s v="Divorced"/>
    <n v="2789"/>
    <n v="3909"/>
    <n v="1"/>
    <s v="No"/>
    <n v="11"/>
    <n v="3"/>
    <n v="3"/>
    <n v="1"/>
    <n v="2"/>
    <n v="5"/>
    <n v="2"/>
    <n v="2"/>
    <n v="2"/>
    <n v="2"/>
    <n v="2"/>
    <x v="3"/>
    <n v="25101"/>
    <x v="0"/>
    <n v="0"/>
  </r>
  <r>
    <n v="26"/>
    <x v="0"/>
    <s v="Travel_Rarely"/>
    <n v="950"/>
    <x v="0"/>
    <n v="4"/>
    <n v="4"/>
    <s v="Marketing"/>
    <n v="401"/>
    <n v="4"/>
    <s v="Male"/>
    <n v="48"/>
    <n v="2"/>
    <n v="2"/>
    <x v="0"/>
    <n v="4"/>
    <s v="Single"/>
    <n v="5828"/>
    <n v="8450"/>
    <n v="1"/>
    <s v="Yes"/>
    <n v="12"/>
    <n v="3"/>
    <n v="2"/>
    <n v="0"/>
    <n v="8"/>
    <n v="0"/>
    <n v="3"/>
    <n v="8"/>
    <n v="7"/>
    <n v="7"/>
    <n v="4"/>
    <x v="1"/>
    <n v="52452"/>
    <x v="0"/>
    <n v="52452"/>
  </r>
  <r>
    <n v="37"/>
    <x v="1"/>
    <s v="Travel_Frequently"/>
    <n v="889"/>
    <x v="1"/>
    <n v="9"/>
    <n v="3"/>
    <s v="Medical"/>
    <n v="403"/>
    <n v="2"/>
    <s v="Male"/>
    <n v="53"/>
    <n v="3"/>
    <n v="1"/>
    <x v="1"/>
    <n v="4"/>
    <s v="Married"/>
    <n v="2326"/>
    <n v="11411"/>
    <n v="1"/>
    <s v="Yes"/>
    <n v="12"/>
    <n v="3"/>
    <n v="3"/>
    <n v="3"/>
    <n v="4"/>
    <n v="3"/>
    <n v="2"/>
    <n v="4"/>
    <n v="2"/>
    <n v="1"/>
    <n v="2"/>
    <x v="0"/>
    <n v="20934"/>
    <x v="0"/>
    <n v="0"/>
  </r>
  <r>
    <n v="42"/>
    <x v="1"/>
    <s v="Travel_Frequently"/>
    <n v="555"/>
    <x v="0"/>
    <n v="26"/>
    <n v="3"/>
    <s v="Marketing"/>
    <n v="404"/>
    <n v="3"/>
    <s v="Female"/>
    <n v="77"/>
    <n v="3"/>
    <n v="4"/>
    <x v="0"/>
    <n v="2"/>
    <s v="Married"/>
    <n v="13525"/>
    <n v="14864"/>
    <n v="5"/>
    <s v="No"/>
    <n v="14"/>
    <n v="3"/>
    <n v="4"/>
    <n v="1"/>
    <n v="23"/>
    <n v="2"/>
    <n v="4"/>
    <n v="20"/>
    <n v="4"/>
    <n v="4"/>
    <n v="8"/>
    <x v="1"/>
    <n v="121725"/>
    <x v="0"/>
    <n v="0"/>
  </r>
  <r>
    <n v="18"/>
    <x v="0"/>
    <s v="Travel_Rarely"/>
    <n v="230"/>
    <x v="1"/>
    <n v="3"/>
    <n v="3"/>
    <s v="Life Sciences"/>
    <n v="405"/>
    <n v="3"/>
    <s v="Male"/>
    <n v="54"/>
    <n v="3"/>
    <n v="1"/>
    <x v="2"/>
    <n v="3"/>
    <s v="Single"/>
    <n v="1420"/>
    <n v="25233"/>
    <n v="1"/>
    <s v="No"/>
    <n v="13"/>
    <n v="3"/>
    <n v="3"/>
    <n v="0"/>
    <n v="0"/>
    <n v="2"/>
    <n v="3"/>
    <n v="0"/>
    <n v="0"/>
    <n v="0"/>
    <n v="0"/>
    <x v="2"/>
    <n v="12780"/>
    <x v="1"/>
    <n v="12780"/>
  </r>
  <r>
    <n v="35"/>
    <x v="1"/>
    <s v="Travel_Rarely"/>
    <n v="1232"/>
    <x v="0"/>
    <n v="16"/>
    <n v="3"/>
    <s v="Marketing"/>
    <n v="406"/>
    <n v="3"/>
    <s v="Male"/>
    <n v="96"/>
    <n v="3"/>
    <n v="3"/>
    <x v="0"/>
    <n v="2"/>
    <s v="Married"/>
    <n v="8020"/>
    <n v="5100"/>
    <n v="0"/>
    <s v="No"/>
    <n v="15"/>
    <n v="3"/>
    <n v="3"/>
    <n v="2"/>
    <n v="12"/>
    <n v="3"/>
    <n v="2"/>
    <n v="11"/>
    <n v="9"/>
    <n v="6"/>
    <n v="9"/>
    <x v="1"/>
    <n v="72180"/>
    <x v="0"/>
    <n v="0"/>
  </r>
  <r>
    <n v="36"/>
    <x v="1"/>
    <s v="Travel_Frequently"/>
    <n v="566"/>
    <x v="1"/>
    <n v="18"/>
    <n v="4"/>
    <s v="Life Sciences"/>
    <n v="407"/>
    <n v="3"/>
    <s v="Male"/>
    <n v="81"/>
    <n v="4"/>
    <n v="1"/>
    <x v="2"/>
    <n v="4"/>
    <s v="Married"/>
    <n v="3688"/>
    <n v="7122"/>
    <n v="4"/>
    <s v="No"/>
    <n v="18"/>
    <n v="3"/>
    <n v="4"/>
    <n v="2"/>
    <n v="4"/>
    <n v="2"/>
    <n v="3"/>
    <n v="1"/>
    <n v="0"/>
    <n v="0"/>
    <n v="0"/>
    <x v="3"/>
    <n v="33192"/>
    <x v="1"/>
    <n v="0"/>
  </r>
  <r>
    <n v="51"/>
    <x v="1"/>
    <s v="Travel_Rarely"/>
    <n v="1302"/>
    <x v="1"/>
    <n v="2"/>
    <n v="3"/>
    <s v="Medical"/>
    <n v="408"/>
    <n v="4"/>
    <s v="Male"/>
    <n v="84"/>
    <n v="1"/>
    <n v="2"/>
    <x v="3"/>
    <n v="2"/>
    <s v="Divorced"/>
    <n v="5482"/>
    <n v="16321"/>
    <n v="5"/>
    <s v="No"/>
    <n v="18"/>
    <n v="3"/>
    <n v="4"/>
    <n v="1"/>
    <n v="13"/>
    <n v="3"/>
    <n v="3"/>
    <n v="4"/>
    <n v="1"/>
    <n v="1"/>
    <n v="2"/>
    <x v="0"/>
    <n v="49338"/>
    <x v="0"/>
    <n v="0"/>
  </r>
  <r>
    <n v="41"/>
    <x v="1"/>
    <s v="Travel_Rarely"/>
    <n v="334"/>
    <x v="0"/>
    <n v="2"/>
    <n v="4"/>
    <s v="Life Sciences"/>
    <n v="410"/>
    <n v="4"/>
    <s v="Male"/>
    <n v="88"/>
    <n v="3"/>
    <n v="4"/>
    <x v="5"/>
    <n v="2"/>
    <s v="Single"/>
    <n v="16015"/>
    <n v="15896"/>
    <n v="1"/>
    <s v="No"/>
    <n v="19"/>
    <n v="3"/>
    <n v="2"/>
    <n v="0"/>
    <n v="22"/>
    <n v="2"/>
    <n v="3"/>
    <n v="22"/>
    <n v="10"/>
    <n v="0"/>
    <n v="4"/>
    <x v="1"/>
    <n v="144135"/>
    <x v="0"/>
    <n v="0"/>
  </r>
  <r>
    <n v="18"/>
    <x v="1"/>
    <s v="Travel_Rarely"/>
    <n v="812"/>
    <x v="0"/>
    <n v="10"/>
    <n v="3"/>
    <s v="Medical"/>
    <n v="411"/>
    <n v="4"/>
    <s v="Female"/>
    <n v="69"/>
    <n v="2"/>
    <n v="1"/>
    <x v="6"/>
    <n v="3"/>
    <s v="Single"/>
    <n v="1200"/>
    <n v="9724"/>
    <n v="1"/>
    <s v="No"/>
    <n v="12"/>
    <n v="3"/>
    <n v="1"/>
    <n v="0"/>
    <n v="0"/>
    <n v="2"/>
    <n v="3"/>
    <n v="0"/>
    <n v="0"/>
    <n v="0"/>
    <n v="0"/>
    <x v="2"/>
    <n v="10800"/>
    <x v="1"/>
    <n v="0"/>
  </r>
  <r>
    <n v="28"/>
    <x v="1"/>
    <s v="Travel_Rarely"/>
    <n v="1476"/>
    <x v="1"/>
    <n v="16"/>
    <n v="2"/>
    <s v="Medical"/>
    <n v="412"/>
    <n v="2"/>
    <s v="Male"/>
    <n v="68"/>
    <n v="4"/>
    <n v="2"/>
    <x v="4"/>
    <n v="1"/>
    <s v="Single"/>
    <n v="5661"/>
    <n v="4824"/>
    <n v="0"/>
    <s v="No"/>
    <n v="19"/>
    <n v="3"/>
    <n v="3"/>
    <n v="0"/>
    <n v="9"/>
    <n v="2"/>
    <n v="3"/>
    <n v="8"/>
    <n v="3"/>
    <n v="0"/>
    <n v="7"/>
    <x v="1"/>
    <n v="50949"/>
    <x v="0"/>
    <n v="0"/>
  </r>
  <r>
    <n v="31"/>
    <x v="1"/>
    <s v="Travel_Rarely"/>
    <n v="218"/>
    <x v="0"/>
    <n v="7"/>
    <n v="3"/>
    <s v="Technical Degree"/>
    <n v="416"/>
    <n v="2"/>
    <s v="Male"/>
    <n v="100"/>
    <n v="4"/>
    <n v="2"/>
    <x v="0"/>
    <n v="4"/>
    <s v="Married"/>
    <n v="6929"/>
    <n v="12241"/>
    <n v="4"/>
    <s v="No"/>
    <n v="11"/>
    <n v="3"/>
    <n v="2"/>
    <n v="1"/>
    <n v="10"/>
    <n v="3"/>
    <n v="2"/>
    <n v="8"/>
    <n v="7"/>
    <n v="7"/>
    <n v="7"/>
    <x v="1"/>
    <n v="62361"/>
    <x v="1"/>
    <n v="0"/>
  </r>
  <r>
    <n v="39"/>
    <x v="1"/>
    <s v="Travel_Rarely"/>
    <n v="1132"/>
    <x v="1"/>
    <n v="1"/>
    <n v="3"/>
    <s v="Medical"/>
    <n v="417"/>
    <n v="3"/>
    <s v="Male"/>
    <n v="48"/>
    <n v="4"/>
    <n v="3"/>
    <x v="4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  <x v="1"/>
    <n v="86517"/>
    <x v="1"/>
    <n v="0"/>
  </r>
  <r>
    <n v="36"/>
    <x v="1"/>
    <s v="Non-Travel"/>
    <n v="1105"/>
    <x v="1"/>
    <n v="24"/>
    <n v="4"/>
    <s v="Life Sciences"/>
    <n v="419"/>
    <n v="2"/>
    <s v="Female"/>
    <n v="47"/>
    <n v="3"/>
    <n v="2"/>
    <x v="2"/>
    <n v="2"/>
    <s v="Married"/>
    <n v="5674"/>
    <n v="6927"/>
    <n v="7"/>
    <s v="No"/>
    <n v="15"/>
    <n v="3"/>
    <n v="3"/>
    <n v="1"/>
    <n v="11"/>
    <n v="3"/>
    <n v="3"/>
    <n v="9"/>
    <n v="8"/>
    <n v="0"/>
    <n v="8"/>
    <x v="1"/>
    <n v="51066"/>
    <x v="0"/>
    <n v="0"/>
  </r>
  <r>
    <n v="32"/>
    <x v="1"/>
    <s v="Travel_Rarely"/>
    <n v="906"/>
    <x v="0"/>
    <n v="7"/>
    <n v="3"/>
    <s v="Life Sciences"/>
    <n v="420"/>
    <n v="4"/>
    <s v="Male"/>
    <n v="91"/>
    <n v="2"/>
    <n v="2"/>
    <x v="0"/>
    <n v="3"/>
    <s v="Married"/>
    <n v="5484"/>
    <n v="16985"/>
    <n v="1"/>
    <s v="No"/>
    <n v="14"/>
    <n v="3"/>
    <n v="3"/>
    <n v="1"/>
    <n v="13"/>
    <n v="3"/>
    <n v="2"/>
    <n v="13"/>
    <n v="8"/>
    <n v="4"/>
    <n v="8"/>
    <x v="1"/>
    <n v="49356"/>
    <x v="1"/>
    <n v="0"/>
  </r>
  <r>
    <n v="38"/>
    <x v="1"/>
    <s v="Travel_Rarely"/>
    <n v="849"/>
    <x v="1"/>
    <n v="25"/>
    <n v="2"/>
    <s v="Life Sciences"/>
    <n v="421"/>
    <n v="1"/>
    <s v="Female"/>
    <n v="81"/>
    <n v="2"/>
    <n v="3"/>
    <x v="7"/>
    <n v="2"/>
    <s v="Married"/>
    <n v="12061"/>
    <n v="26707"/>
    <n v="3"/>
    <s v="No"/>
    <n v="17"/>
    <n v="3"/>
    <n v="3"/>
    <n v="1"/>
    <n v="19"/>
    <n v="2"/>
    <n v="3"/>
    <n v="10"/>
    <n v="8"/>
    <n v="0"/>
    <n v="1"/>
    <x v="1"/>
    <n v="108549"/>
    <x v="0"/>
    <n v="0"/>
  </r>
  <r>
    <n v="58"/>
    <x v="1"/>
    <s v="Non-Travel"/>
    <n v="390"/>
    <x v="1"/>
    <n v="1"/>
    <n v="4"/>
    <s v="Life Sciences"/>
    <n v="422"/>
    <n v="4"/>
    <s v="Male"/>
    <n v="32"/>
    <n v="1"/>
    <n v="2"/>
    <x v="4"/>
    <n v="3"/>
    <s v="Divorced"/>
    <n v="5660"/>
    <n v="17056"/>
    <n v="2"/>
    <s v="Yes"/>
    <n v="13"/>
    <n v="3"/>
    <n v="4"/>
    <n v="1"/>
    <n v="12"/>
    <n v="2"/>
    <n v="3"/>
    <n v="5"/>
    <n v="3"/>
    <n v="1"/>
    <n v="2"/>
    <x v="0"/>
    <n v="50940"/>
    <x v="0"/>
    <n v="0"/>
  </r>
  <r>
    <n v="31"/>
    <x v="1"/>
    <s v="Travel_Rarely"/>
    <n v="691"/>
    <x v="1"/>
    <n v="5"/>
    <n v="4"/>
    <s v="Technical Degree"/>
    <n v="423"/>
    <n v="3"/>
    <s v="Male"/>
    <n v="86"/>
    <n v="3"/>
    <n v="1"/>
    <x v="1"/>
    <n v="4"/>
    <s v="Married"/>
    <n v="4821"/>
    <n v="10077"/>
    <n v="0"/>
    <s v="Yes"/>
    <n v="12"/>
    <n v="3"/>
    <n v="3"/>
    <n v="1"/>
    <n v="6"/>
    <n v="4"/>
    <n v="3"/>
    <n v="5"/>
    <n v="2"/>
    <n v="0"/>
    <n v="3"/>
    <x v="0"/>
    <n v="43389"/>
    <x v="0"/>
    <n v="0"/>
  </r>
  <r>
    <n v="31"/>
    <x v="1"/>
    <s v="Travel_Rarely"/>
    <n v="106"/>
    <x v="2"/>
    <n v="2"/>
    <n v="3"/>
    <s v="Human Resources"/>
    <n v="424"/>
    <n v="1"/>
    <s v="Male"/>
    <n v="62"/>
    <n v="2"/>
    <n v="2"/>
    <x v="8"/>
    <n v="1"/>
    <s v="Married"/>
    <n v="6410"/>
    <n v="17822"/>
    <n v="3"/>
    <s v="No"/>
    <n v="12"/>
    <n v="3"/>
    <n v="4"/>
    <n v="0"/>
    <n v="9"/>
    <n v="1"/>
    <n v="3"/>
    <n v="2"/>
    <n v="2"/>
    <n v="1"/>
    <n v="0"/>
    <x v="3"/>
    <n v="57690"/>
    <x v="0"/>
    <n v="0"/>
  </r>
  <r>
    <n v="45"/>
    <x v="1"/>
    <s v="Travel_Frequently"/>
    <n v="1249"/>
    <x v="1"/>
    <n v="7"/>
    <n v="3"/>
    <s v="Life Sciences"/>
    <n v="425"/>
    <n v="1"/>
    <s v="Male"/>
    <n v="97"/>
    <n v="3"/>
    <n v="3"/>
    <x v="2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  <x v="1"/>
    <n v="46890"/>
    <x v="0"/>
    <n v="0"/>
  </r>
  <r>
    <n v="31"/>
    <x v="1"/>
    <s v="Travel_Rarely"/>
    <n v="192"/>
    <x v="1"/>
    <n v="2"/>
    <n v="4"/>
    <s v="Life Sciences"/>
    <n v="426"/>
    <n v="3"/>
    <s v="Male"/>
    <n v="32"/>
    <n v="3"/>
    <n v="1"/>
    <x v="1"/>
    <n v="4"/>
    <s v="Divorced"/>
    <n v="2695"/>
    <n v="7747"/>
    <n v="0"/>
    <s v="Yes"/>
    <n v="18"/>
    <n v="3"/>
    <n v="2"/>
    <n v="1"/>
    <n v="3"/>
    <n v="2"/>
    <n v="1"/>
    <n v="2"/>
    <n v="2"/>
    <n v="2"/>
    <n v="2"/>
    <x v="3"/>
    <n v="24255"/>
    <x v="0"/>
    <n v="0"/>
  </r>
  <r>
    <n v="33"/>
    <x v="1"/>
    <s v="Travel_Frequently"/>
    <n v="553"/>
    <x v="1"/>
    <n v="5"/>
    <n v="4"/>
    <s v="Life Sciences"/>
    <n v="428"/>
    <n v="4"/>
    <s v="Female"/>
    <n v="74"/>
    <n v="3"/>
    <n v="3"/>
    <x v="5"/>
    <n v="2"/>
    <s v="Married"/>
    <n v="11878"/>
    <n v="23364"/>
    <n v="6"/>
    <s v="No"/>
    <n v="11"/>
    <n v="3"/>
    <n v="2"/>
    <n v="2"/>
    <n v="12"/>
    <n v="2"/>
    <n v="3"/>
    <n v="10"/>
    <n v="6"/>
    <n v="8"/>
    <n v="8"/>
    <x v="1"/>
    <n v="106902"/>
    <x v="0"/>
    <n v="0"/>
  </r>
  <r>
    <n v="39"/>
    <x v="1"/>
    <s v="Travel_Rarely"/>
    <n v="117"/>
    <x v="1"/>
    <n v="10"/>
    <n v="1"/>
    <s v="Medical"/>
    <n v="429"/>
    <n v="3"/>
    <s v="Male"/>
    <n v="99"/>
    <n v="3"/>
    <n v="4"/>
    <x v="5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  <x v="1"/>
    <n v="153612"/>
    <x v="0"/>
    <n v="0"/>
  </r>
  <r>
    <n v="43"/>
    <x v="1"/>
    <s v="Travel_Frequently"/>
    <n v="185"/>
    <x v="1"/>
    <n v="10"/>
    <n v="4"/>
    <s v="Life Sciences"/>
    <n v="430"/>
    <n v="3"/>
    <s v="Female"/>
    <n v="33"/>
    <n v="3"/>
    <n v="1"/>
    <x v="2"/>
    <n v="4"/>
    <s v="Single"/>
    <n v="2455"/>
    <n v="10675"/>
    <n v="0"/>
    <s v="No"/>
    <n v="19"/>
    <n v="3"/>
    <n v="1"/>
    <n v="0"/>
    <n v="9"/>
    <n v="5"/>
    <n v="3"/>
    <n v="8"/>
    <n v="7"/>
    <n v="1"/>
    <n v="7"/>
    <x v="1"/>
    <n v="22095"/>
    <x v="1"/>
    <n v="0"/>
  </r>
  <r>
    <n v="49"/>
    <x v="1"/>
    <s v="Travel_Rarely"/>
    <n v="1091"/>
    <x v="1"/>
    <n v="1"/>
    <n v="2"/>
    <s v="Technical Degree"/>
    <n v="431"/>
    <n v="3"/>
    <s v="Female"/>
    <n v="90"/>
    <n v="2"/>
    <n v="4"/>
    <x v="4"/>
    <n v="3"/>
    <s v="Single"/>
    <n v="13964"/>
    <n v="17810"/>
    <n v="7"/>
    <s v="Yes"/>
    <n v="12"/>
    <n v="3"/>
    <n v="4"/>
    <n v="0"/>
    <n v="25"/>
    <n v="2"/>
    <n v="3"/>
    <n v="7"/>
    <n v="1"/>
    <n v="0"/>
    <n v="7"/>
    <x v="1"/>
    <n v="125676"/>
    <x v="0"/>
    <n v="0"/>
  </r>
  <r>
    <n v="52"/>
    <x v="0"/>
    <s v="Travel_Rarely"/>
    <n v="723"/>
    <x v="1"/>
    <n v="8"/>
    <n v="4"/>
    <s v="Medical"/>
    <n v="433"/>
    <n v="3"/>
    <s v="Male"/>
    <n v="85"/>
    <n v="2"/>
    <n v="2"/>
    <x v="1"/>
    <n v="2"/>
    <s v="Married"/>
    <n v="4941"/>
    <n v="17747"/>
    <n v="2"/>
    <s v="No"/>
    <n v="15"/>
    <n v="3"/>
    <n v="1"/>
    <n v="0"/>
    <n v="11"/>
    <n v="3"/>
    <n v="2"/>
    <n v="8"/>
    <n v="2"/>
    <n v="7"/>
    <n v="7"/>
    <x v="1"/>
    <n v="44469"/>
    <x v="0"/>
    <n v="44469"/>
  </r>
  <r>
    <n v="27"/>
    <x v="1"/>
    <s v="Travel_Rarely"/>
    <n v="1220"/>
    <x v="1"/>
    <n v="5"/>
    <n v="3"/>
    <s v="Life Sciences"/>
    <n v="434"/>
    <n v="3"/>
    <s v="Female"/>
    <n v="85"/>
    <n v="3"/>
    <n v="1"/>
    <x v="1"/>
    <n v="2"/>
    <s v="Single"/>
    <n v="2478"/>
    <n v="20938"/>
    <n v="1"/>
    <s v="Yes"/>
    <n v="12"/>
    <n v="3"/>
    <n v="2"/>
    <n v="0"/>
    <n v="4"/>
    <n v="2"/>
    <n v="2"/>
    <n v="4"/>
    <n v="3"/>
    <n v="1"/>
    <n v="2"/>
    <x v="0"/>
    <n v="22302"/>
    <x v="0"/>
    <n v="0"/>
  </r>
  <r>
    <n v="32"/>
    <x v="1"/>
    <s v="Travel_Rarely"/>
    <n v="588"/>
    <x v="0"/>
    <n v="8"/>
    <n v="2"/>
    <s v="Technical Degree"/>
    <n v="436"/>
    <n v="3"/>
    <s v="Female"/>
    <n v="65"/>
    <n v="2"/>
    <n v="2"/>
    <x v="0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  <x v="1"/>
    <n v="47052"/>
    <x v="0"/>
    <n v="0"/>
  </r>
  <r>
    <n v="27"/>
    <x v="1"/>
    <s v="Travel_Rarely"/>
    <n v="1377"/>
    <x v="0"/>
    <n v="2"/>
    <n v="3"/>
    <s v="Life Sciences"/>
    <n v="437"/>
    <n v="4"/>
    <s v="Male"/>
    <n v="74"/>
    <n v="3"/>
    <n v="2"/>
    <x v="0"/>
    <n v="3"/>
    <s v="Single"/>
    <n v="4478"/>
    <n v="5242"/>
    <n v="1"/>
    <s v="Yes"/>
    <n v="11"/>
    <n v="3"/>
    <n v="1"/>
    <n v="0"/>
    <n v="5"/>
    <n v="3"/>
    <n v="3"/>
    <n v="5"/>
    <n v="4"/>
    <n v="0"/>
    <n v="4"/>
    <x v="0"/>
    <n v="40302"/>
    <x v="0"/>
    <n v="0"/>
  </r>
  <r>
    <n v="31"/>
    <x v="1"/>
    <s v="Travel_Rarely"/>
    <n v="691"/>
    <x v="0"/>
    <n v="7"/>
    <n v="3"/>
    <s v="Marketing"/>
    <n v="438"/>
    <n v="4"/>
    <s v="Male"/>
    <n v="73"/>
    <n v="3"/>
    <n v="2"/>
    <x v="0"/>
    <n v="4"/>
    <s v="Divorced"/>
    <n v="7547"/>
    <n v="7143"/>
    <n v="4"/>
    <s v="No"/>
    <n v="12"/>
    <n v="3"/>
    <n v="4"/>
    <n v="3"/>
    <n v="13"/>
    <n v="3"/>
    <n v="3"/>
    <n v="7"/>
    <n v="7"/>
    <n v="1"/>
    <n v="7"/>
    <x v="1"/>
    <n v="67923"/>
    <x v="1"/>
    <n v="0"/>
  </r>
  <r>
    <n v="32"/>
    <x v="1"/>
    <s v="Travel_Rarely"/>
    <n v="1018"/>
    <x v="1"/>
    <n v="2"/>
    <n v="4"/>
    <s v="Medical"/>
    <n v="439"/>
    <n v="1"/>
    <s v="Female"/>
    <n v="74"/>
    <n v="4"/>
    <n v="2"/>
    <x v="1"/>
    <n v="4"/>
    <s v="Single"/>
    <n v="5055"/>
    <n v="10557"/>
    <n v="7"/>
    <s v="No"/>
    <n v="16"/>
    <n v="3"/>
    <n v="3"/>
    <n v="0"/>
    <n v="10"/>
    <n v="0"/>
    <n v="2"/>
    <n v="7"/>
    <n v="7"/>
    <n v="0"/>
    <n v="7"/>
    <x v="1"/>
    <n v="45495"/>
    <x v="1"/>
    <n v="0"/>
  </r>
  <r>
    <n v="28"/>
    <x v="0"/>
    <s v="Travel_Rarely"/>
    <n v="1157"/>
    <x v="1"/>
    <n v="2"/>
    <n v="4"/>
    <s v="Medical"/>
    <n v="440"/>
    <n v="1"/>
    <s v="Male"/>
    <n v="84"/>
    <n v="1"/>
    <n v="1"/>
    <x v="1"/>
    <n v="4"/>
    <s v="Married"/>
    <n v="3464"/>
    <n v="24737"/>
    <n v="5"/>
    <s v="Yes"/>
    <n v="13"/>
    <n v="3"/>
    <n v="4"/>
    <n v="0"/>
    <n v="5"/>
    <n v="4"/>
    <n v="2"/>
    <n v="3"/>
    <n v="2"/>
    <n v="2"/>
    <n v="2"/>
    <x v="3"/>
    <n v="31176"/>
    <x v="0"/>
    <n v="31176"/>
  </r>
  <r>
    <n v="30"/>
    <x v="1"/>
    <s v="Travel_Rarely"/>
    <n v="1275"/>
    <x v="1"/>
    <n v="28"/>
    <n v="2"/>
    <s v="Medical"/>
    <n v="441"/>
    <n v="4"/>
    <s v="Female"/>
    <n v="64"/>
    <n v="3"/>
    <n v="2"/>
    <x v="1"/>
    <n v="4"/>
    <s v="Married"/>
    <n v="5775"/>
    <n v="11934"/>
    <n v="1"/>
    <s v="No"/>
    <n v="13"/>
    <n v="3"/>
    <n v="4"/>
    <n v="2"/>
    <n v="11"/>
    <n v="2"/>
    <n v="3"/>
    <n v="10"/>
    <n v="8"/>
    <n v="1"/>
    <n v="9"/>
    <x v="1"/>
    <n v="51975"/>
    <x v="1"/>
    <n v="0"/>
  </r>
  <r>
    <n v="31"/>
    <x v="1"/>
    <s v="Travel_Frequently"/>
    <n v="798"/>
    <x v="1"/>
    <n v="7"/>
    <n v="2"/>
    <s v="Life Sciences"/>
    <n v="442"/>
    <n v="3"/>
    <s v="Female"/>
    <n v="48"/>
    <n v="2"/>
    <n v="3"/>
    <x v="3"/>
    <n v="3"/>
    <s v="Married"/>
    <n v="8943"/>
    <n v="14034"/>
    <n v="1"/>
    <s v="No"/>
    <n v="24"/>
    <n v="4"/>
    <n v="1"/>
    <n v="1"/>
    <n v="10"/>
    <n v="2"/>
    <n v="3"/>
    <n v="10"/>
    <n v="9"/>
    <n v="8"/>
    <n v="9"/>
    <x v="1"/>
    <n v="80487"/>
    <x v="1"/>
    <n v="0"/>
  </r>
  <r>
    <n v="39"/>
    <x v="1"/>
    <s v="Travel_Frequently"/>
    <n v="672"/>
    <x v="1"/>
    <n v="7"/>
    <n v="2"/>
    <s v="Medical"/>
    <n v="444"/>
    <n v="3"/>
    <s v="Male"/>
    <n v="54"/>
    <n v="2"/>
    <n v="5"/>
    <x v="5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  <x v="1"/>
    <n v="173448"/>
    <x v="1"/>
    <n v="0"/>
  </r>
  <r>
    <n v="39"/>
    <x v="0"/>
    <s v="Travel_Rarely"/>
    <n v="1162"/>
    <x v="0"/>
    <n v="3"/>
    <n v="2"/>
    <s v="Medical"/>
    <n v="445"/>
    <n v="4"/>
    <s v="Female"/>
    <n v="41"/>
    <n v="3"/>
    <n v="2"/>
    <x v="0"/>
    <n v="3"/>
    <s v="Married"/>
    <n v="5238"/>
    <n v="17778"/>
    <n v="4"/>
    <s v="Yes"/>
    <n v="18"/>
    <n v="3"/>
    <n v="1"/>
    <n v="0"/>
    <n v="12"/>
    <n v="3"/>
    <n v="2"/>
    <n v="1"/>
    <n v="0"/>
    <n v="0"/>
    <n v="0"/>
    <x v="3"/>
    <n v="47142"/>
    <x v="0"/>
    <n v="47142"/>
  </r>
  <r>
    <n v="33"/>
    <x v="1"/>
    <s v="Travel_Frequently"/>
    <n v="508"/>
    <x v="0"/>
    <n v="10"/>
    <n v="3"/>
    <s v="Marketing"/>
    <n v="446"/>
    <n v="2"/>
    <s v="Male"/>
    <n v="46"/>
    <n v="2"/>
    <n v="2"/>
    <x v="0"/>
    <n v="4"/>
    <s v="Single"/>
    <n v="4682"/>
    <n v="4317"/>
    <n v="3"/>
    <s v="No"/>
    <n v="14"/>
    <n v="3"/>
    <n v="3"/>
    <n v="0"/>
    <n v="9"/>
    <n v="6"/>
    <n v="2"/>
    <n v="7"/>
    <n v="7"/>
    <n v="0"/>
    <n v="1"/>
    <x v="1"/>
    <n v="42138"/>
    <x v="1"/>
    <n v="0"/>
  </r>
  <r>
    <n v="47"/>
    <x v="1"/>
    <s v="Travel_Rarely"/>
    <n v="1482"/>
    <x v="1"/>
    <n v="5"/>
    <n v="5"/>
    <s v="Life Sciences"/>
    <n v="447"/>
    <n v="4"/>
    <s v="Male"/>
    <n v="42"/>
    <n v="3"/>
    <n v="5"/>
    <x v="7"/>
    <n v="3"/>
    <s v="Married"/>
    <n v="18300"/>
    <n v="16375"/>
    <n v="4"/>
    <s v="No"/>
    <n v="11"/>
    <n v="3"/>
    <n v="2"/>
    <n v="1"/>
    <n v="21"/>
    <n v="2"/>
    <n v="3"/>
    <n v="3"/>
    <n v="2"/>
    <n v="1"/>
    <n v="1"/>
    <x v="3"/>
    <n v="164700"/>
    <x v="1"/>
    <n v="0"/>
  </r>
  <r>
    <n v="43"/>
    <x v="1"/>
    <s v="Travel_Frequently"/>
    <n v="559"/>
    <x v="1"/>
    <n v="10"/>
    <n v="4"/>
    <s v="Life Sciences"/>
    <n v="448"/>
    <n v="3"/>
    <s v="Female"/>
    <n v="82"/>
    <n v="2"/>
    <n v="2"/>
    <x v="2"/>
    <n v="3"/>
    <s v="Divorced"/>
    <n v="5257"/>
    <n v="6227"/>
    <n v="1"/>
    <s v="No"/>
    <n v="11"/>
    <n v="3"/>
    <n v="2"/>
    <n v="1"/>
    <n v="9"/>
    <n v="3"/>
    <n v="4"/>
    <n v="9"/>
    <n v="7"/>
    <n v="0"/>
    <n v="0"/>
    <x v="1"/>
    <n v="47313"/>
    <x v="1"/>
    <n v="0"/>
  </r>
  <r>
    <n v="27"/>
    <x v="1"/>
    <s v="Non-Travel"/>
    <n v="210"/>
    <x v="0"/>
    <n v="1"/>
    <n v="1"/>
    <s v="Marketing"/>
    <n v="449"/>
    <n v="3"/>
    <s v="Male"/>
    <n v="73"/>
    <n v="3"/>
    <n v="2"/>
    <x v="0"/>
    <n v="2"/>
    <s v="Married"/>
    <n v="6349"/>
    <n v="22107"/>
    <n v="0"/>
    <s v="Yes"/>
    <n v="13"/>
    <n v="3"/>
    <n v="4"/>
    <n v="1"/>
    <n v="6"/>
    <n v="0"/>
    <n v="3"/>
    <n v="5"/>
    <n v="4"/>
    <n v="1"/>
    <n v="4"/>
    <x v="0"/>
    <n v="57141"/>
    <x v="0"/>
    <n v="0"/>
  </r>
  <r>
    <n v="54"/>
    <x v="1"/>
    <s v="Travel_Frequently"/>
    <n v="928"/>
    <x v="1"/>
    <n v="20"/>
    <n v="4"/>
    <s v="Life Sciences"/>
    <n v="450"/>
    <n v="4"/>
    <s v="Female"/>
    <n v="31"/>
    <n v="3"/>
    <n v="2"/>
    <x v="1"/>
    <n v="3"/>
    <s v="Single"/>
    <n v="4869"/>
    <n v="16885"/>
    <n v="3"/>
    <s v="No"/>
    <n v="12"/>
    <n v="3"/>
    <n v="4"/>
    <n v="0"/>
    <n v="20"/>
    <n v="4"/>
    <n v="2"/>
    <n v="4"/>
    <n v="3"/>
    <n v="0"/>
    <n v="3"/>
    <x v="0"/>
    <n v="43821"/>
    <x v="1"/>
    <n v="0"/>
  </r>
  <r>
    <n v="43"/>
    <x v="1"/>
    <s v="Travel_Rarely"/>
    <n v="1001"/>
    <x v="1"/>
    <n v="7"/>
    <n v="3"/>
    <s v="Life Sciences"/>
    <n v="451"/>
    <n v="3"/>
    <s v="Female"/>
    <n v="43"/>
    <n v="3"/>
    <n v="3"/>
    <x v="4"/>
    <n v="1"/>
    <s v="Married"/>
    <n v="9985"/>
    <n v="9262"/>
    <n v="8"/>
    <s v="No"/>
    <n v="16"/>
    <n v="3"/>
    <n v="1"/>
    <n v="1"/>
    <n v="10"/>
    <n v="1"/>
    <n v="2"/>
    <n v="1"/>
    <n v="0"/>
    <n v="0"/>
    <n v="0"/>
    <x v="3"/>
    <n v="89865"/>
    <x v="0"/>
    <n v="0"/>
  </r>
  <r>
    <n v="45"/>
    <x v="1"/>
    <s v="Travel_Rarely"/>
    <n v="549"/>
    <x v="1"/>
    <n v="8"/>
    <n v="4"/>
    <s v="Other"/>
    <n v="452"/>
    <n v="4"/>
    <s v="Male"/>
    <n v="75"/>
    <n v="3"/>
    <n v="2"/>
    <x v="1"/>
    <n v="4"/>
    <s v="Married"/>
    <n v="3697"/>
    <n v="9278"/>
    <n v="9"/>
    <s v="No"/>
    <n v="14"/>
    <n v="3"/>
    <n v="1"/>
    <n v="2"/>
    <n v="12"/>
    <n v="3"/>
    <n v="3"/>
    <n v="10"/>
    <n v="9"/>
    <n v="9"/>
    <n v="8"/>
    <x v="1"/>
    <n v="33273"/>
    <x v="1"/>
    <n v="0"/>
  </r>
  <r>
    <n v="40"/>
    <x v="1"/>
    <s v="Travel_Rarely"/>
    <n v="1124"/>
    <x v="0"/>
    <n v="1"/>
    <n v="2"/>
    <s v="Medical"/>
    <n v="453"/>
    <n v="2"/>
    <s v="Male"/>
    <n v="57"/>
    <n v="1"/>
    <n v="2"/>
    <x v="0"/>
    <n v="4"/>
    <s v="Married"/>
    <n v="7457"/>
    <n v="13273"/>
    <n v="2"/>
    <s v="Yes"/>
    <n v="22"/>
    <n v="4"/>
    <n v="3"/>
    <n v="3"/>
    <n v="6"/>
    <n v="2"/>
    <n v="2"/>
    <n v="4"/>
    <n v="3"/>
    <n v="0"/>
    <n v="2"/>
    <x v="0"/>
    <n v="67113"/>
    <x v="0"/>
    <n v="0"/>
  </r>
  <r>
    <n v="29"/>
    <x v="0"/>
    <s v="Travel_Rarely"/>
    <n v="318"/>
    <x v="1"/>
    <n v="8"/>
    <n v="4"/>
    <s v="Other"/>
    <n v="454"/>
    <n v="2"/>
    <s v="Male"/>
    <n v="77"/>
    <n v="1"/>
    <n v="1"/>
    <x v="2"/>
    <n v="1"/>
    <s v="Married"/>
    <n v="2119"/>
    <n v="4759"/>
    <n v="1"/>
    <s v="Yes"/>
    <n v="11"/>
    <n v="3"/>
    <n v="4"/>
    <n v="0"/>
    <n v="7"/>
    <n v="4"/>
    <n v="2"/>
    <n v="7"/>
    <n v="7"/>
    <n v="0"/>
    <n v="7"/>
    <x v="1"/>
    <n v="19071"/>
    <x v="0"/>
    <n v="19071"/>
  </r>
  <r>
    <n v="29"/>
    <x v="1"/>
    <s v="Travel_Rarely"/>
    <n v="738"/>
    <x v="1"/>
    <n v="9"/>
    <n v="5"/>
    <s v="Other"/>
    <n v="455"/>
    <n v="2"/>
    <s v="Male"/>
    <n v="30"/>
    <n v="2"/>
    <n v="1"/>
    <x v="2"/>
    <n v="4"/>
    <s v="Single"/>
    <n v="3983"/>
    <n v="7621"/>
    <n v="0"/>
    <s v="No"/>
    <n v="17"/>
    <n v="3"/>
    <n v="3"/>
    <n v="0"/>
    <n v="4"/>
    <n v="2"/>
    <n v="3"/>
    <n v="3"/>
    <n v="2"/>
    <n v="2"/>
    <n v="2"/>
    <x v="3"/>
    <n v="35847"/>
    <x v="1"/>
    <n v="0"/>
  </r>
  <r>
    <n v="30"/>
    <x v="1"/>
    <s v="Travel_Rarely"/>
    <n v="570"/>
    <x v="0"/>
    <n v="5"/>
    <n v="3"/>
    <s v="Marketing"/>
    <n v="456"/>
    <n v="4"/>
    <s v="Female"/>
    <n v="30"/>
    <n v="2"/>
    <n v="2"/>
    <x v="0"/>
    <n v="3"/>
    <s v="Divorced"/>
    <n v="6118"/>
    <n v="5431"/>
    <n v="1"/>
    <s v="No"/>
    <n v="13"/>
    <n v="3"/>
    <n v="3"/>
    <n v="3"/>
    <n v="10"/>
    <n v="2"/>
    <n v="3"/>
    <n v="10"/>
    <n v="9"/>
    <n v="1"/>
    <n v="2"/>
    <x v="1"/>
    <n v="55062"/>
    <x v="1"/>
    <n v="0"/>
  </r>
  <r>
    <n v="27"/>
    <x v="1"/>
    <s v="Travel_Rarely"/>
    <n v="1130"/>
    <x v="0"/>
    <n v="8"/>
    <n v="4"/>
    <s v="Marketing"/>
    <n v="458"/>
    <n v="2"/>
    <s v="Female"/>
    <n v="56"/>
    <n v="3"/>
    <n v="2"/>
    <x v="0"/>
    <n v="2"/>
    <s v="Married"/>
    <n v="6214"/>
    <n v="3415"/>
    <n v="1"/>
    <s v="No"/>
    <n v="18"/>
    <n v="3"/>
    <n v="1"/>
    <n v="1"/>
    <n v="8"/>
    <n v="3"/>
    <n v="3"/>
    <n v="8"/>
    <n v="7"/>
    <n v="0"/>
    <n v="7"/>
    <x v="1"/>
    <n v="55926"/>
    <x v="0"/>
    <n v="0"/>
  </r>
  <r>
    <n v="37"/>
    <x v="1"/>
    <s v="Travel_Rarely"/>
    <n v="1192"/>
    <x v="1"/>
    <n v="5"/>
    <n v="2"/>
    <s v="Medical"/>
    <n v="460"/>
    <n v="4"/>
    <s v="Male"/>
    <n v="61"/>
    <n v="3"/>
    <n v="2"/>
    <x v="3"/>
    <n v="4"/>
    <s v="Divorced"/>
    <n v="6347"/>
    <n v="23177"/>
    <n v="7"/>
    <s v="No"/>
    <n v="16"/>
    <n v="3"/>
    <n v="3"/>
    <n v="2"/>
    <n v="8"/>
    <n v="2"/>
    <n v="2"/>
    <n v="6"/>
    <n v="2"/>
    <n v="0"/>
    <n v="4"/>
    <x v="0"/>
    <n v="57123"/>
    <x v="1"/>
    <n v="0"/>
  </r>
  <r>
    <n v="38"/>
    <x v="1"/>
    <s v="Travel_Rarely"/>
    <n v="343"/>
    <x v="1"/>
    <n v="15"/>
    <n v="2"/>
    <s v="Life Sciences"/>
    <n v="461"/>
    <n v="3"/>
    <s v="Male"/>
    <n v="92"/>
    <n v="2"/>
    <n v="3"/>
    <x v="7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  <x v="1"/>
    <n v="103590"/>
    <x v="0"/>
    <n v="0"/>
  </r>
  <r>
    <n v="31"/>
    <x v="1"/>
    <s v="Travel_Rarely"/>
    <n v="1232"/>
    <x v="1"/>
    <n v="7"/>
    <n v="4"/>
    <s v="Medical"/>
    <n v="462"/>
    <n v="3"/>
    <s v="Female"/>
    <n v="39"/>
    <n v="3"/>
    <n v="3"/>
    <x v="3"/>
    <n v="4"/>
    <s v="Single"/>
    <n v="7143"/>
    <n v="25713"/>
    <n v="1"/>
    <s v="Yes"/>
    <n v="14"/>
    <n v="3"/>
    <n v="3"/>
    <n v="0"/>
    <n v="11"/>
    <n v="2"/>
    <n v="2"/>
    <n v="11"/>
    <n v="9"/>
    <n v="4"/>
    <n v="10"/>
    <x v="1"/>
    <n v="64287"/>
    <x v="0"/>
    <n v="0"/>
  </r>
  <r>
    <n v="29"/>
    <x v="1"/>
    <s v="Travel_Rarely"/>
    <n v="144"/>
    <x v="0"/>
    <n v="10"/>
    <n v="1"/>
    <s v="Marketing"/>
    <n v="463"/>
    <n v="4"/>
    <s v="Female"/>
    <n v="39"/>
    <n v="2"/>
    <n v="2"/>
    <x v="0"/>
    <n v="2"/>
    <s v="Divorced"/>
    <n v="8268"/>
    <n v="11866"/>
    <n v="1"/>
    <s v="Yes"/>
    <n v="14"/>
    <n v="3"/>
    <n v="1"/>
    <n v="2"/>
    <n v="7"/>
    <n v="2"/>
    <n v="3"/>
    <n v="7"/>
    <n v="7"/>
    <n v="1"/>
    <n v="7"/>
    <x v="1"/>
    <n v="74412"/>
    <x v="0"/>
    <n v="0"/>
  </r>
  <r>
    <n v="35"/>
    <x v="1"/>
    <s v="Travel_Rarely"/>
    <n v="1296"/>
    <x v="1"/>
    <n v="5"/>
    <n v="4"/>
    <s v="Technical Degree"/>
    <n v="464"/>
    <n v="3"/>
    <s v="Male"/>
    <n v="62"/>
    <n v="3"/>
    <n v="3"/>
    <x v="3"/>
    <n v="2"/>
    <s v="Single"/>
    <n v="8095"/>
    <n v="18264"/>
    <n v="0"/>
    <s v="No"/>
    <n v="13"/>
    <n v="3"/>
    <n v="4"/>
    <n v="0"/>
    <n v="17"/>
    <n v="5"/>
    <n v="3"/>
    <n v="16"/>
    <n v="6"/>
    <n v="0"/>
    <n v="13"/>
    <x v="1"/>
    <n v="72855"/>
    <x v="0"/>
    <n v="0"/>
  </r>
  <r>
    <n v="23"/>
    <x v="1"/>
    <s v="Travel_Rarely"/>
    <n v="1309"/>
    <x v="1"/>
    <n v="26"/>
    <n v="1"/>
    <s v="Life Sciences"/>
    <n v="465"/>
    <n v="3"/>
    <s v="Male"/>
    <n v="83"/>
    <n v="3"/>
    <n v="1"/>
    <x v="1"/>
    <n v="4"/>
    <s v="Divorced"/>
    <n v="2904"/>
    <n v="16092"/>
    <n v="1"/>
    <s v="No"/>
    <n v="12"/>
    <n v="3"/>
    <n v="3"/>
    <n v="2"/>
    <n v="4"/>
    <n v="2"/>
    <n v="2"/>
    <n v="4"/>
    <n v="2"/>
    <n v="0"/>
    <n v="2"/>
    <x v="0"/>
    <n v="26136"/>
    <x v="1"/>
    <n v="0"/>
  </r>
  <r>
    <n v="41"/>
    <x v="1"/>
    <s v="Travel_Rarely"/>
    <n v="483"/>
    <x v="1"/>
    <n v="6"/>
    <n v="3"/>
    <s v="Medical"/>
    <n v="466"/>
    <n v="4"/>
    <s v="Male"/>
    <n v="95"/>
    <n v="2"/>
    <n v="2"/>
    <x v="3"/>
    <n v="2"/>
    <s v="Single"/>
    <n v="6032"/>
    <n v="10110"/>
    <n v="6"/>
    <s v="Yes"/>
    <n v="15"/>
    <n v="3"/>
    <n v="4"/>
    <n v="0"/>
    <n v="8"/>
    <n v="3"/>
    <n v="3"/>
    <n v="5"/>
    <n v="4"/>
    <n v="1"/>
    <n v="2"/>
    <x v="0"/>
    <n v="54288"/>
    <x v="0"/>
    <n v="0"/>
  </r>
  <r>
    <n v="47"/>
    <x v="1"/>
    <s v="Travel_Frequently"/>
    <n v="1309"/>
    <x v="0"/>
    <n v="4"/>
    <n v="1"/>
    <s v="Medical"/>
    <n v="467"/>
    <n v="2"/>
    <s v="Male"/>
    <n v="99"/>
    <n v="3"/>
    <n v="2"/>
    <x v="6"/>
    <n v="3"/>
    <s v="Single"/>
    <n v="2976"/>
    <n v="25751"/>
    <n v="3"/>
    <s v="No"/>
    <n v="19"/>
    <n v="3"/>
    <n v="1"/>
    <n v="0"/>
    <n v="5"/>
    <n v="3"/>
    <n v="3"/>
    <n v="0"/>
    <n v="0"/>
    <n v="0"/>
    <n v="0"/>
    <x v="2"/>
    <n v="26784"/>
    <x v="1"/>
    <n v="0"/>
  </r>
  <r>
    <n v="42"/>
    <x v="1"/>
    <s v="Travel_Rarely"/>
    <n v="810"/>
    <x v="1"/>
    <n v="23"/>
    <n v="5"/>
    <s v="Life Sciences"/>
    <n v="468"/>
    <n v="1"/>
    <s v="Female"/>
    <n v="44"/>
    <n v="3"/>
    <n v="4"/>
    <x v="7"/>
    <n v="4"/>
    <s v="Single"/>
    <n v="15992"/>
    <n v="15901"/>
    <n v="2"/>
    <s v="No"/>
    <n v="14"/>
    <n v="3"/>
    <n v="2"/>
    <n v="0"/>
    <n v="16"/>
    <n v="2"/>
    <n v="3"/>
    <n v="1"/>
    <n v="0"/>
    <n v="0"/>
    <n v="0"/>
    <x v="3"/>
    <n v="143928"/>
    <x v="1"/>
    <n v="0"/>
  </r>
  <r>
    <n v="29"/>
    <x v="1"/>
    <s v="Non-Travel"/>
    <n v="746"/>
    <x v="0"/>
    <n v="2"/>
    <n v="3"/>
    <s v="Life Sciences"/>
    <n v="469"/>
    <n v="4"/>
    <s v="Male"/>
    <n v="61"/>
    <n v="3"/>
    <n v="2"/>
    <x v="0"/>
    <n v="3"/>
    <s v="Married"/>
    <n v="4649"/>
    <n v="16928"/>
    <n v="1"/>
    <s v="No"/>
    <n v="14"/>
    <n v="3"/>
    <n v="1"/>
    <n v="1"/>
    <n v="4"/>
    <n v="3"/>
    <n v="2"/>
    <n v="4"/>
    <n v="3"/>
    <n v="0"/>
    <n v="2"/>
    <x v="0"/>
    <n v="41841"/>
    <x v="1"/>
    <n v="0"/>
  </r>
  <r>
    <n v="42"/>
    <x v="1"/>
    <s v="Travel_Rarely"/>
    <n v="544"/>
    <x v="2"/>
    <n v="2"/>
    <n v="1"/>
    <s v="Technical Degree"/>
    <n v="470"/>
    <n v="3"/>
    <s v="Male"/>
    <n v="52"/>
    <n v="3"/>
    <n v="1"/>
    <x v="8"/>
    <n v="3"/>
    <s v="Divorced"/>
    <n v="2696"/>
    <n v="24017"/>
    <n v="0"/>
    <s v="Yes"/>
    <n v="11"/>
    <n v="3"/>
    <n v="3"/>
    <n v="1"/>
    <n v="4"/>
    <n v="5"/>
    <n v="3"/>
    <n v="3"/>
    <n v="2"/>
    <n v="1"/>
    <n v="0"/>
    <x v="3"/>
    <n v="24264"/>
    <x v="0"/>
    <n v="0"/>
  </r>
  <r>
    <n v="32"/>
    <x v="1"/>
    <s v="Travel_Rarely"/>
    <n v="1062"/>
    <x v="1"/>
    <n v="2"/>
    <n v="3"/>
    <s v="Medical"/>
    <n v="471"/>
    <n v="3"/>
    <s v="Female"/>
    <n v="75"/>
    <n v="3"/>
    <n v="1"/>
    <x v="2"/>
    <n v="2"/>
    <s v="Married"/>
    <n v="2370"/>
    <n v="3956"/>
    <n v="1"/>
    <s v="No"/>
    <n v="13"/>
    <n v="3"/>
    <n v="3"/>
    <n v="1"/>
    <n v="8"/>
    <n v="4"/>
    <n v="3"/>
    <n v="8"/>
    <n v="0"/>
    <n v="0"/>
    <n v="7"/>
    <x v="1"/>
    <n v="21330"/>
    <x v="0"/>
    <n v="0"/>
  </r>
  <r>
    <n v="48"/>
    <x v="1"/>
    <s v="Travel_Rarely"/>
    <n v="530"/>
    <x v="0"/>
    <n v="29"/>
    <n v="1"/>
    <s v="Medical"/>
    <n v="473"/>
    <n v="1"/>
    <s v="Female"/>
    <n v="91"/>
    <n v="3"/>
    <n v="3"/>
    <x v="5"/>
    <n v="3"/>
    <s v="Married"/>
    <n v="12504"/>
    <n v="23978"/>
    <n v="3"/>
    <s v="No"/>
    <n v="21"/>
    <n v="4"/>
    <n v="2"/>
    <n v="1"/>
    <n v="15"/>
    <n v="3"/>
    <n v="1"/>
    <n v="0"/>
    <n v="0"/>
    <n v="0"/>
    <n v="0"/>
    <x v="2"/>
    <n v="112536"/>
    <x v="1"/>
    <n v="0"/>
  </r>
  <r>
    <n v="37"/>
    <x v="1"/>
    <s v="Travel_Rarely"/>
    <n v="1319"/>
    <x v="1"/>
    <n v="6"/>
    <n v="3"/>
    <s v="Medical"/>
    <n v="474"/>
    <n v="3"/>
    <s v="Male"/>
    <n v="51"/>
    <n v="4"/>
    <n v="2"/>
    <x v="1"/>
    <n v="1"/>
    <s v="Divorced"/>
    <n v="5974"/>
    <n v="17001"/>
    <n v="4"/>
    <s v="Yes"/>
    <n v="13"/>
    <n v="3"/>
    <n v="1"/>
    <n v="2"/>
    <n v="13"/>
    <n v="2"/>
    <n v="3"/>
    <n v="7"/>
    <n v="7"/>
    <n v="6"/>
    <n v="7"/>
    <x v="1"/>
    <n v="53766"/>
    <x v="0"/>
    <n v="0"/>
  </r>
  <r>
    <n v="30"/>
    <x v="1"/>
    <s v="Non-Travel"/>
    <n v="641"/>
    <x v="0"/>
    <n v="25"/>
    <n v="2"/>
    <s v="Technical Degree"/>
    <n v="475"/>
    <n v="4"/>
    <s v="Female"/>
    <n v="85"/>
    <n v="3"/>
    <n v="2"/>
    <x v="0"/>
    <n v="3"/>
    <s v="Married"/>
    <n v="4736"/>
    <n v="6069"/>
    <n v="7"/>
    <s v="Yes"/>
    <n v="12"/>
    <n v="3"/>
    <n v="2"/>
    <n v="1"/>
    <n v="4"/>
    <n v="2"/>
    <n v="4"/>
    <n v="2"/>
    <n v="2"/>
    <n v="2"/>
    <n v="2"/>
    <x v="3"/>
    <n v="42624"/>
    <x v="0"/>
    <n v="0"/>
  </r>
  <r>
    <n v="26"/>
    <x v="1"/>
    <s v="Travel_Rarely"/>
    <n v="933"/>
    <x v="0"/>
    <n v="1"/>
    <n v="3"/>
    <s v="Life Sciences"/>
    <n v="476"/>
    <n v="3"/>
    <s v="Male"/>
    <n v="57"/>
    <n v="3"/>
    <n v="2"/>
    <x v="0"/>
    <n v="3"/>
    <s v="Married"/>
    <n v="5296"/>
    <n v="20156"/>
    <n v="1"/>
    <s v="No"/>
    <n v="17"/>
    <n v="3"/>
    <n v="2"/>
    <n v="1"/>
    <n v="8"/>
    <n v="3"/>
    <n v="3"/>
    <n v="8"/>
    <n v="7"/>
    <n v="7"/>
    <n v="7"/>
    <x v="1"/>
    <n v="47664"/>
    <x v="1"/>
    <n v="0"/>
  </r>
  <r>
    <n v="42"/>
    <x v="1"/>
    <s v="Travel_Rarely"/>
    <n v="1332"/>
    <x v="1"/>
    <n v="2"/>
    <n v="4"/>
    <s v="Other"/>
    <n v="477"/>
    <n v="1"/>
    <s v="Male"/>
    <n v="98"/>
    <n v="2"/>
    <n v="2"/>
    <x v="4"/>
    <n v="4"/>
    <s v="Single"/>
    <n v="6781"/>
    <n v="17078"/>
    <n v="3"/>
    <s v="No"/>
    <n v="23"/>
    <n v="4"/>
    <n v="2"/>
    <n v="0"/>
    <n v="14"/>
    <n v="6"/>
    <n v="3"/>
    <n v="1"/>
    <n v="0"/>
    <n v="0"/>
    <n v="0"/>
    <x v="3"/>
    <n v="61029"/>
    <x v="1"/>
    <n v="0"/>
  </r>
  <r>
    <n v="21"/>
    <x v="0"/>
    <s v="Travel_Frequently"/>
    <n v="756"/>
    <x v="0"/>
    <n v="1"/>
    <n v="1"/>
    <s v="Technical Degree"/>
    <n v="478"/>
    <n v="1"/>
    <s v="Female"/>
    <n v="99"/>
    <n v="2"/>
    <n v="1"/>
    <x v="6"/>
    <n v="2"/>
    <s v="Single"/>
    <n v="2174"/>
    <n v="9150"/>
    <n v="1"/>
    <s v="Yes"/>
    <n v="11"/>
    <n v="3"/>
    <n v="3"/>
    <n v="0"/>
    <n v="3"/>
    <n v="3"/>
    <n v="3"/>
    <n v="3"/>
    <n v="2"/>
    <n v="1"/>
    <n v="2"/>
    <x v="3"/>
    <n v="19566"/>
    <x v="2"/>
    <n v="19566"/>
  </r>
  <r>
    <n v="36"/>
    <x v="1"/>
    <s v="Non-Travel"/>
    <n v="845"/>
    <x v="0"/>
    <n v="1"/>
    <n v="5"/>
    <s v="Medical"/>
    <n v="479"/>
    <n v="4"/>
    <s v="Female"/>
    <n v="45"/>
    <n v="3"/>
    <n v="2"/>
    <x v="0"/>
    <n v="4"/>
    <s v="Single"/>
    <n v="6653"/>
    <n v="15276"/>
    <n v="4"/>
    <s v="No"/>
    <n v="15"/>
    <n v="3"/>
    <n v="2"/>
    <n v="0"/>
    <n v="7"/>
    <n v="6"/>
    <n v="3"/>
    <n v="1"/>
    <n v="0"/>
    <n v="0"/>
    <n v="0"/>
    <x v="3"/>
    <n v="59877"/>
    <x v="1"/>
    <n v="0"/>
  </r>
  <r>
    <n v="36"/>
    <x v="1"/>
    <s v="Travel_Frequently"/>
    <n v="541"/>
    <x v="0"/>
    <n v="3"/>
    <n v="4"/>
    <s v="Medical"/>
    <n v="481"/>
    <n v="1"/>
    <s v="Male"/>
    <n v="48"/>
    <n v="2"/>
    <n v="3"/>
    <x v="0"/>
    <n v="4"/>
    <s v="Married"/>
    <n v="9699"/>
    <n v="7246"/>
    <n v="4"/>
    <s v="No"/>
    <n v="11"/>
    <n v="3"/>
    <n v="1"/>
    <n v="1"/>
    <n v="16"/>
    <n v="2"/>
    <n v="3"/>
    <n v="13"/>
    <n v="9"/>
    <n v="1"/>
    <n v="12"/>
    <x v="1"/>
    <n v="87291"/>
    <x v="1"/>
    <n v="0"/>
  </r>
  <r>
    <n v="57"/>
    <x v="1"/>
    <s v="Travel_Rarely"/>
    <n v="593"/>
    <x v="1"/>
    <n v="1"/>
    <n v="4"/>
    <s v="Medical"/>
    <n v="482"/>
    <n v="4"/>
    <s v="Male"/>
    <n v="88"/>
    <n v="3"/>
    <n v="2"/>
    <x v="4"/>
    <n v="3"/>
    <s v="Married"/>
    <n v="6755"/>
    <n v="2967"/>
    <n v="2"/>
    <s v="No"/>
    <n v="11"/>
    <n v="3"/>
    <n v="3"/>
    <n v="0"/>
    <n v="15"/>
    <n v="2"/>
    <n v="3"/>
    <n v="3"/>
    <n v="2"/>
    <n v="1"/>
    <n v="2"/>
    <x v="3"/>
    <n v="60795"/>
    <x v="1"/>
    <n v="0"/>
  </r>
  <r>
    <n v="40"/>
    <x v="1"/>
    <s v="Travel_Rarely"/>
    <n v="1171"/>
    <x v="1"/>
    <n v="10"/>
    <n v="4"/>
    <s v="Life Sciences"/>
    <n v="483"/>
    <n v="4"/>
    <s v="Female"/>
    <n v="46"/>
    <n v="4"/>
    <n v="1"/>
    <x v="2"/>
    <n v="3"/>
    <s v="Married"/>
    <n v="2213"/>
    <n v="22495"/>
    <n v="3"/>
    <s v="Yes"/>
    <n v="13"/>
    <n v="3"/>
    <n v="3"/>
    <n v="1"/>
    <n v="10"/>
    <n v="3"/>
    <n v="3"/>
    <n v="7"/>
    <n v="7"/>
    <n v="1"/>
    <n v="7"/>
    <x v="1"/>
    <n v="19917"/>
    <x v="0"/>
    <n v="0"/>
  </r>
  <r>
    <n v="21"/>
    <x v="1"/>
    <s v="Non-Travel"/>
    <n v="895"/>
    <x v="0"/>
    <n v="9"/>
    <n v="2"/>
    <s v="Medical"/>
    <n v="484"/>
    <n v="1"/>
    <s v="Male"/>
    <n v="39"/>
    <n v="3"/>
    <n v="1"/>
    <x v="6"/>
    <n v="4"/>
    <s v="Single"/>
    <n v="2610"/>
    <n v="2851"/>
    <n v="1"/>
    <s v="No"/>
    <n v="24"/>
    <n v="4"/>
    <n v="3"/>
    <n v="0"/>
    <n v="3"/>
    <n v="3"/>
    <n v="2"/>
    <n v="3"/>
    <n v="2"/>
    <n v="2"/>
    <n v="2"/>
    <x v="3"/>
    <n v="23490"/>
    <x v="1"/>
    <n v="0"/>
  </r>
  <r>
    <n v="33"/>
    <x v="0"/>
    <s v="Travel_Rarely"/>
    <n v="350"/>
    <x v="0"/>
    <n v="5"/>
    <n v="3"/>
    <s v="Marketing"/>
    <n v="485"/>
    <n v="4"/>
    <s v="Female"/>
    <n v="34"/>
    <n v="3"/>
    <n v="1"/>
    <x v="6"/>
    <n v="3"/>
    <s v="Single"/>
    <n v="2851"/>
    <n v="9150"/>
    <n v="1"/>
    <s v="Yes"/>
    <n v="13"/>
    <n v="3"/>
    <n v="2"/>
    <n v="0"/>
    <n v="1"/>
    <n v="2"/>
    <n v="3"/>
    <n v="1"/>
    <n v="0"/>
    <n v="0"/>
    <n v="0"/>
    <x v="3"/>
    <n v="25659"/>
    <x v="0"/>
    <n v="25659"/>
  </r>
  <r>
    <n v="37"/>
    <x v="1"/>
    <s v="Travel_Rarely"/>
    <n v="921"/>
    <x v="1"/>
    <n v="10"/>
    <n v="3"/>
    <s v="Medical"/>
    <n v="486"/>
    <n v="3"/>
    <s v="Female"/>
    <n v="98"/>
    <n v="3"/>
    <n v="1"/>
    <x v="2"/>
    <n v="1"/>
    <s v="Married"/>
    <n v="3452"/>
    <n v="17663"/>
    <n v="6"/>
    <s v="No"/>
    <n v="20"/>
    <n v="4"/>
    <n v="2"/>
    <n v="1"/>
    <n v="17"/>
    <n v="3"/>
    <n v="3"/>
    <n v="5"/>
    <n v="4"/>
    <n v="0"/>
    <n v="3"/>
    <x v="0"/>
    <n v="31068"/>
    <x v="0"/>
    <n v="0"/>
  </r>
  <r>
    <n v="46"/>
    <x v="1"/>
    <s v="Non-Travel"/>
    <n v="1144"/>
    <x v="1"/>
    <n v="7"/>
    <n v="4"/>
    <s v="Medical"/>
    <n v="487"/>
    <n v="3"/>
    <s v="Female"/>
    <n v="30"/>
    <n v="3"/>
    <n v="2"/>
    <x v="3"/>
    <n v="3"/>
    <s v="Married"/>
    <n v="5258"/>
    <n v="16044"/>
    <n v="2"/>
    <s v="No"/>
    <n v="14"/>
    <n v="3"/>
    <n v="3"/>
    <n v="0"/>
    <n v="7"/>
    <n v="2"/>
    <n v="4"/>
    <n v="1"/>
    <n v="0"/>
    <n v="0"/>
    <n v="0"/>
    <x v="3"/>
    <n v="47322"/>
    <x v="1"/>
    <n v="0"/>
  </r>
  <r>
    <n v="41"/>
    <x v="0"/>
    <s v="Travel_Frequently"/>
    <n v="143"/>
    <x v="0"/>
    <n v="4"/>
    <n v="3"/>
    <s v="Marketing"/>
    <n v="488"/>
    <n v="1"/>
    <s v="Male"/>
    <n v="56"/>
    <n v="3"/>
    <n v="2"/>
    <x v="0"/>
    <n v="2"/>
    <s v="Single"/>
    <n v="9355"/>
    <n v="9558"/>
    <n v="1"/>
    <s v="No"/>
    <n v="18"/>
    <n v="3"/>
    <n v="3"/>
    <n v="0"/>
    <n v="8"/>
    <n v="5"/>
    <n v="3"/>
    <n v="8"/>
    <n v="7"/>
    <n v="7"/>
    <n v="7"/>
    <x v="1"/>
    <n v="84195"/>
    <x v="0"/>
    <n v="84195"/>
  </r>
  <r>
    <n v="50"/>
    <x v="1"/>
    <s v="Travel_Rarely"/>
    <n v="1046"/>
    <x v="1"/>
    <n v="10"/>
    <n v="3"/>
    <s v="Technical Degree"/>
    <n v="491"/>
    <n v="4"/>
    <s v="Male"/>
    <n v="100"/>
    <n v="2"/>
    <n v="3"/>
    <x v="4"/>
    <n v="4"/>
    <s v="Single"/>
    <n v="10496"/>
    <n v="2755"/>
    <n v="6"/>
    <s v="No"/>
    <n v="15"/>
    <n v="3"/>
    <n v="4"/>
    <n v="0"/>
    <n v="20"/>
    <n v="2"/>
    <n v="3"/>
    <n v="4"/>
    <n v="3"/>
    <n v="1"/>
    <n v="3"/>
    <x v="0"/>
    <n v="94464"/>
    <x v="1"/>
    <n v="0"/>
  </r>
  <r>
    <n v="40"/>
    <x v="0"/>
    <s v="Travel_Rarely"/>
    <n v="575"/>
    <x v="0"/>
    <n v="22"/>
    <n v="2"/>
    <s v="Marketing"/>
    <n v="492"/>
    <n v="3"/>
    <s v="Male"/>
    <n v="68"/>
    <n v="2"/>
    <n v="2"/>
    <x v="0"/>
    <n v="3"/>
    <s v="Married"/>
    <n v="6380"/>
    <n v="6110"/>
    <n v="2"/>
    <s v="Yes"/>
    <n v="12"/>
    <n v="3"/>
    <n v="1"/>
    <n v="2"/>
    <n v="8"/>
    <n v="6"/>
    <n v="3"/>
    <n v="6"/>
    <n v="4"/>
    <n v="1"/>
    <n v="0"/>
    <x v="0"/>
    <n v="57420"/>
    <x v="0"/>
    <n v="57420"/>
  </r>
  <r>
    <n v="31"/>
    <x v="1"/>
    <s v="Travel_Rarely"/>
    <n v="408"/>
    <x v="1"/>
    <n v="9"/>
    <n v="4"/>
    <s v="Life Sciences"/>
    <n v="493"/>
    <n v="3"/>
    <s v="Male"/>
    <n v="42"/>
    <n v="2"/>
    <n v="1"/>
    <x v="1"/>
    <n v="2"/>
    <s v="Single"/>
    <n v="2657"/>
    <n v="7551"/>
    <n v="0"/>
    <s v="Yes"/>
    <n v="16"/>
    <n v="3"/>
    <n v="4"/>
    <n v="0"/>
    <n v="3"/>
    <n v="5"/>
    <n v="3"/>
    <n v="2"/>
    <n v="2"/>
    <n v="2"/>
    <n v="2"/>
    <x v="3"/>
    <n v="23913"/>
    <x v="2"/>
    <n v="0"/>
  </r>
  <r>
    <n v="21"/>
    <x v="0"/>
    <s v="Travel_Rarely"/>
    <n v="156"/>
    <x v="0"/>
    <n v="12"/>
    <n v="3"/>
    <s v="Life Sciences"/>
    <n v="494"/>
    <n v="3"/>
    <s v="Female"/>
    <n v="90"/>
    <n v="4"/>
    <n v="1"/>
    <x v="6"/>
    <n v="2"/>
    <s v="Single"/>
    <n v="2716"/>
    <n v="25422"/>
    <n v="1"/>
    <s v="No"/>
    <n v="15"/>
    <n v="3"/>
    <n v="4"/>
    <n v="0"/>
    <n v="1"/>
    <n v="0"/>
    <n v="3"/>
    <n v="1"/>
    <n v="0"/>
    <n v="0"/>
    <n v="0"/>
    <x v="3"/>
    <n v="24444"/>
    <x v="0"/>
    <n v="24444"/>
  </r>
  <r>
    <n v="29"/>
    <x v="1"/>
    <s v="Travel_Rarely"/>
    <n v="1283"/>
    <x v="1"/>
    <n v="23"/>
    <n v="3"/>
    <s v="Life Sciences"/>
    <n v="495"/>
    <n v="4"/>
    <s v="Male"/>
    <n v="54"/>
    <n v="3"/>
    <n v="1"/>
    <x v="1"/>
    <n v="4"/>
    <s v="Single"/>
    <n v="2201"/>
    <n v="18168"/>
    <n v="9"/>
    <s v="No"/>
    <n v="16"/>
    <n v="3"/>
    <n v="4"/>
    <n v="0"/>
    <n v="6"/>
    <n v="4"/>
    <n v="3"/>
    <n v="3"/>
    <n v="2"/>
    <n v="1"/>
    <n v="2"/>
    <x v="3"/>
    <n v="19809"/>
    <x v="1"/>
    <n v="0"/>
  </r>
  <r>
    <n v="35"/>
    <x v="1"/>
    <s v="Travel_Rarely"/>
    <n v="755"/>
    <x v="1"/>
    <n v="9"/>
    <n v="4"/>
    <s v="Life Sciences"/>
    <n v="496"/>
    <n v="3"/>
    <s v="Male"/>
    <n v="97"/>
    <n v="2"/>
    <n v="2"/>
    <x v="4"/>
    <n v="2"/>
    <s v="Single"/>
    <n v="6540"/>
    <n v="19394"/>
    <n v="9"/>
    <s v="No"/>
    <n v="19"/>
    <n v="3"/>
    <n v="3"/>
    <n v="0"/>
    <n v="10"/>
    <n v="5"/>
    <n v="3"/>
    <n v="1"/>
    <n v="1"/>
    <n v="0"/>
    <n v="0"/>
    <x v="3"/>
    <n v="58860"/>
    <x v="0"/>
    <n v="0"/>
  </r>
  <r>
    <n v="27"/>
    <x v="1"/>
    <s v="Travel_Rarely"/>
    <n v="1469"/>
    <x v="1"/>
    <n v="1"/>
    <n v="2"/>
    <s v="Medical"/>
    <n v="497"/>
    <n v="4"/>
    <s v="Male"/>
    <n v="82"/>
    <n v="3"/>
    <n v="1"/>
    <x v="2"/>
    <n v="2"/>
    <s v="Divorced"/>
    <n v="3816"/>
    <n v="17881"/>
    <n v="1"/>
    <s v="No"/>
    <n v="11"/>
    <n v="3"/>
    <n v="2"/>
    <n v="1"/>
    <n v="5"/>
    <n v="2"/>
    <n v="3"/>
    <n v="5"/>
    <n v="2"/>
    <n v="0"/>
    <n v="4"/>
    <x v="0"/>
    <n v="34344"/>
    <x v="0"/>
    <n v="0"/>
  </r>
  <r>
    <n v="28"/>
    <x v="1"/>
    <s v="Travel_Rarely"/>
    <n v="304"/>
    <x v="0"/>
    <n v="9"/>
    <n v="4"/>
    <s v="Life Sciences"/>
    <n v="498"/>
    <n v="2"/>
    <s v="Male"/>
    <n v="92"/>
    <n v="3"/>
    <n v="2"/>
    <x v="0"/>
    <n v="4"/>
    <s v="Single"/>
    <n v="5253"/>
    <n v="20750"/>
    <n v="1"/>
    <s v="No"/>
    <n v="16"/>
    <n v="3"/>
    <n v="4"/>
    <n v="0"/>
    <n v="7"/>
    <n v="1"/>
    <n v="3"/>
    <n v="7"/>
    <n v="5"/>
    <n v="0"/>
    <n v="7"/>
    <x v="1"/>
    <n v="47277"/>
    <x v="1"/>
    <n v="0"/>
  </r>
  <r>
    <n v="49"/>
    <x v="1"/>
    <s v="Travel_Rarely"/>
    <n v="1261"/>
    <x v="1"/>
    <n v="7"/>
    <n v="3"/>
    <s v="Other"/>
    <n v="499"/>
    <n v="2"/>
    <s v="Male"/>
    <n v="31"/>
    <n v="2"/>
    <n v="3"/>
    <x v="4"/>
    <n v="3"/>
    <s v="Single"/>
    <n v="10965"/>
    <n v="12066"/>
    <n v="8"/>
    <s v="No"/>
    <n v="24"/>
    <n v="4"/>
    <n v="3"/>
    <n v="0"/>
    <n v="26"/>
    <n v="2"/>
    <n v="3"/>
    <n v="5"/>
    <n v="2"/>
    <n v="0"/>
    <n v="0"/>
    <x v="0"/>
    <n v="98685"/>
    <x v="1"/>
    <n v="0"/>
  </r>
  <r>
    <n v="51"/>
    <x v="1"/>
    <s v="Travel_Rarely"/>
    <n v="1178"/>
    <x v="0"/>
    <n v="14"/>
    <n v="2"/>
    <s v="Life Sciences"/>
    <n v="500"/>
    <n v="3"/>
    <s v="Female"/>
    <n v="87"/>
    <n v="3"/>
    <n v="2"/>
    <x v="0"/>
    <n v="4"/>
    <s v="Married"/>
    <n v="4936"/>
    <n v="14862"/>
    <n v="4"/>
    <s v="No"/>
    <n v="11"/>
    <n v="3"/>
    <n v="3"/>
    <n v="1"/>
    <n v="18"/>
    <n v="2"/>
    <n v="2"/>
    <n v="7"/>
    <n v="7"/>
    <n v="0"/>
    <n v="7"/>
    <x v="1"/>
    <n v="44424"/>
    <x v="1"/>
    <n v="0"/>
  </r>
  <r>
    <n v="36"/>
    <x v="1"/>
    <s v="Travel_Rarely"/>
    <n v="329"/>
    <x v="1"/>
    <n v="2"/>
    <n v="3"/>
    <s v="Life Sciences"/>
    <n v="501"/>
    <n v="4"/>
    <s v="Female"/>
    <n v="96"/>
    <n v="3"/>
    <n v="1"/>
    <x v="1"/>
    <n v="3"/>
    <s v="Married"/>
    <n v="2543"/>
    <n v="11868"/>
    <n v="4"/>
    <s v="No"/>
    <n v="13"/>
    <n v="3"/>
    <n v="2"/>
    <n v="1"/>
    <n v="6"/>
    <n v="3"/>
    <n v="3"/>
    <n v="2"/>
    <n v="2"/>
    <n v="2"/>
    <n v="2"/>
    <x v="3"/>
    <n v="22887"/>
    <x v="1"/>
    <n v="0"/>
  </r>
  <r>
    <n v="34"/>
    <x v="0"/>
    <s v="Non-Travel"/>
    <n v="1362"/>
    <x v="0"/>
    <n v="19"/>
    <n v="3"/>
    <s v="Marketing"/>
    <n v="502"/>
    <n v="1"/>
    <s v="Male"/>
    <n v="67"/>
    <n v="4"/>
    <n v="2"/>
    <x v="0"/>
    <n v="4"/>
    <s v="Single"/>
    <n v="5304"/>
    <n v="4652"/>
    <n v="8"/>
    <s v="Yes"/>
    <n v="13"/>
    <n v="3"/>
    <n v="2"/>
    <n v="0"/>
    <n v="9"/>
    <n v="3"/>
    <n v="2"/>
    <n v="5"/>
    <n v="2"/>
    <n v="0"/>
    <n v="4"/>
    <x v="0"/>
    <n v="47736"/>
    <x v="0"/>
    <n v="47736"/>
  </r>
  <r>
    <n v="55"/>
    <x v="1"/>
    <s v="Travel_Rarely"/>
    <n v="1311"/>
    <x v="1"/>
    <n v="2"/>
    <n v="3"/>
    <s v="Life Sciences"/>
    <n v="505"/>
    <n v="3"/>
    <s v="Female"/>
    <n v="97"/>
    <n v="3"/>
    <n v="4"/>
    <x v="5"/>
    <n v="4"/>
    <s v="Single"/>
    <n v="16659"/>
    <n v="23258"/>
    <n v="2"/>
    <s v="Yes"/>
    <n v="13"/>
    <n v="3"/>
    <n v="3"/>
    <n v="0"/>
    <n v="30"/>
    <n v="2"/>
    <n v="3"/>
    <n v="5"/>
    <n v="4"/>
    <n v="1"/>
    <n v="2"/>
    <x v="0"/>
    <n v="149931"/>
    <x v="0"/>
    <n v="0"/>
  </r>
  <r>
    <n v="24"/>
    <x v="1"/>
    <s v="Travel_Rarely"/>
    <n v="1371"/>
    <x v="0"/>
    <n v="10"/>
    <n v="4"/>
    <s v="Marketing"/>
    <n v="507"/>
    <n v="4"/>
    <s v="Female"/>
    <n v="77"/>
    <n v="3"/>
    <n v="2"/>
    <x v="0"/>
    <n v="3"/>
    <s v="Divorced"/>
    <n v="4260"/>
    <n v="5915"/>
    <n v="1"/>
    <s v="Yes"/>
    <n v="12"/>
    <n v="3"/>
    <n v="4"/>
    <n v="1"/>
    <n v="5"/>
    <n v="2"/>
    <n v="4"/>
    <n v="5"/>
    <n v="2"/>
    <n v="0"/>
    <n v="3"/>
    <x v="0"/>
    <n v="38340"/>
    <x v="0"/>
    <n v="0"/>
  </r>
  <r>
    <n v="30"/>
    <x v="1"/>
    <s v="Travel_Rarely"/>
    <n v="202"/>
    <x v="0"/>
    <n v="2"/>
    <n v="1"/>
    <s v="Technical Degree"/>
    <n v="508"/>
    <n v="3"/>
    <s v="Male"/>
    <n v="72"/>
    <n v="3"/>
    <n v="1"/>
    <x v="6"/>
    <n v="2"/>
    <s v="Married"/>
    <n v="2476"/>
    <n v="17434"/>
    <n v="1"/>
    <s v="No"/>
    <n v="18"/>
    <n v="3"/>
    <n v="1"/>
    <n v="1"/>
    <n v="1"/>
    <n v="3"/>
    <n v="3"/>
    <n v="1"/>
    <n v="0"/>
    <n v="0"/>
    <n v="0"/>
    <x v="3"/>
    <n v="22284"/>
    <x v="0"/>
    <n v="0"/>
  </r>
  <r>
    <n v="26"/>
    <x v="0"/>
    <s v="Travel_Frequently"/>
    <n v="575"/>
    <x v="1"/>
    <n v="3"/>
    <n v="1"/>
    <s v="Technical Degree"/>
    <n v="510"/>
    <n v="3"/>
    <s v="Male"/>
    <n v="73"/>
    <n v="3"/>
    <n v="1"/>
    <x v="1"/>
    <n v="1"/>
    <s v="Single"/>
    <n v="3102"/>
    <n v="6582"/>
    <n v="0"/>
    <s v="No"/>
    <n v="22"/>
    <n v="4"/>
    <n v="3"/>
    <n v="0"/>
    <n v="7"/>
    <n v="2"/>
    <n v="3"/>
    <n v="6"/>
    <n v="4"/>
    <n v="0"/>
    <n v="4"/>
    <x v="0"/>
    <n v="27918"/>
    <x v="0"/>
    <n v="27918"/>
  </r>
  <r>
    <n v="22"/>
    <x v="1"/>
    <s v="Travel_Rarely"/>
    <n v="253"/>
    <x v="1"/>
    <n v="11"/>
    <n v="3"/>
    <s v="Medical"/>
    <n v="511"/>
    <n v="1"/>
    <s v="Female"/>
    <n v="43"/>
    <n v="3"/>
    <n v="1"/>
    <x v="1"/>
    <n v="2"/>
    <s v="Married"/>
    <n v="2244"/>
    <n v="24440"/>
    <n v="1"/>
    <s v="No"/>
    <n v="13"/>
    <n v="3"/>
    <n v="4"/>
    <n v="1"/>
    <n v="2"/>
    <n v="1"/>
    <n v="3"/>
    <n v="2"/>
    <n v="1"/>
    <n v="1"/>
    <n v="2"/>
    <x v="3"/>
    <n v="20196"/>
    <x v="0"/>
    <n v="0"/>
  </r>
  <r>
    <n v="36"/>
    <x v="1"/>
    <s v="Travel_Rarely"/>
    <n v="164"/>
    <x v="0"/>
    <n v="2"/>
    <n v="2"/>
    <s v="Medical"/>
    <n v="513"/>
    <n v="2"/>
    <s v="Male"/>
    <n v="61"/>
    <n v="2"/>
    <n v="3"/>
    <x v="0"/>
    <n v="3"/>
    <s v="Married"/>
    <n v="7596"/>
    <n v="3809"/>
    <n v="1"/>
    <s v="No"/>
    <n v="13"/>
    <n v="3"/>
    <n v="2"/>
    <n v="2"/>
    <n v="10"/>
    <n v="2"/>
    <n v="3"/>
    <n v="10"/>
    <n v="9"/>
    <n v="9"/>
    <n v="0"/>
    <x v="1"/>
    <n v="68364"/>
    <x v="1"/>
    <n v="0"/>
  </r>
  <r>
    <n v="30"/>
    <x v="0"/>
    <s v="Travel_Frequently"/>
    <n v="464"/>
    <x v="1"/>
    <n v="4"/>
    <n v="3"/>
    <s v="Technical Degree"/>
    <n v="514"/>
    <n v="3"/>
    <s v="Male"/>
    <n v="40"/>
    <n v="3"/>
    <n v="1"/>
    <x v="1"/>
    <n v="4"/>
    <s v="Single"/>
    <n v="2285"/>
    <n v="3427"/>
    <n v="9"/>
    <s v="Yes"/>
    <n v="23"/>
    <n v="4"/>
    <n v="3"/>
    <n v="0"/>
    <n v="3"/>
    <n v="4"/>
    <n v="3"/>
    <n v="1"/>
    <n v="0"/>
    <n v="0"/>
    <n v="0"/>
    <x v="3"/>
    <n v="20565"/>
    <x v="0"/>
    <n v="20565"/>
  </r>
  <r>
    <n v="37"/>
    <x v="1"/>
    <s v="Travel_Rarely"/>
    <n v="1107"/>
    <x v="1"/>
    <n v="14"/>
    <n v="3"/>
    <s v="Life Sciences"/>
    <n v="515"/>
    <n v="4"/>
    <s v="Female"/>
    <n v="95"/>
    <n v="3"/>
    <n v="1"/>
    <x v="2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  <x v="1"/>
    <n v="27306"/>
    <x v="0"/>
    <n v="0"/>
  </r>
  <r>
    <n v="40"/>
    <x v="1"/>
    <s v="Travel_Rarely"/>
    <n v="759"/>
    <x v="0"/>
    <n v="2"/>
    <n v="2"/>
    <s v="Marketing"/>
    <n v="516"/>
    <n v="4"/>
    <s v="Female"/>
    <n v="46"/>
    <n v="3"/>
    <n v="2"/>
    <x v="0"/>
    <n v="2"/>
    <s v="Divorced"/>
    <n v="5715"/>
    <n v="22553"/>
    <n v="7"/>
    <s v="No"/>
    <n v="12"/>
    <n v="3"/>
    <n v="3"/>
    <n v="2"/>
    <n v="8"/>
    <n v="5"/>
    <n v="3"/>
    <n v="5"/>
    <n v="4"/>
    <n v="1"/>
    <n v="3"/>
    <x v="0"/>
    <n v="51435"/>
    <x v="0"/>
    <n v="0"/>
  </r>
  <r>
    <n v="42"/>
    <x v="1"/>
    <s v="Travel_Rarely"/>
    <n v="201"/>
    <x v="1"/>
    <n v="1"/>
    <n v="4"/>
    <s v="Life Sciences"/>
    <n v="517"/>
    <n v="2"/>
    <s v="Female"/>
    <n v="95"/>
    <n v="3"/>
    <n v="1"/>
    <x v="2"/>
    <n v="1"/>
    <s v="Divorced"/>
    <n v="2576"/>
    <n v="20490"/>
    <n v="3"/>
    <s v="No"/>
    <n v="16"/>
    <n v="3"/>
    <n v="2"/>
    <n v="1"/>
    <n v="8"/>
    <n v="5"/>
    <n v="3"/>
    <n v="5"/>
    <n v="2"/>
    <n v="1"/>
    <n v="2"/>
    <x v="0"/>
    <n v="23184"/>
    <x v="0"/>
    <n v="0"/>
  </r>
  <r>
    <n v="37"/>
    <x v="1"/>
    <s v="Travel_Rarely"/>
    <n v="1305"/>
    <x v="1"/>
    <n v="10"/>
    <n v="4"/>
    <s v="Life Sciences"/>
    <n v="518"/>
    <n v="3"/>
    <s v="Male"/>
    <n v="49"/>
    <n v="3"/>
    <n v="2"/>
    <x v="3"/>
    <n v="2"/>
    <s v="Single"/>
    <n v="4197"/>
    <n v="21123"/>
    <n v="2"/>
    <s v="Yes"/>
    <n v="12"/>
    <n v="3"/>
    <n v="4"/>
    <n v="0"/>
    <n v="18"/>
    <n v="2"/>
    <n v="2"/>
    <n v="1"/>
    <n v="0"/>
    <n v="0"/>
    <n v="1"/>
    <x v="3"/>
    <n v="37773"/>
    <x v="2"/>
    <n v="0"/>
  </r>
  <r>
    <n v="43"/>
    <x v="1"/>
    <s v="Travel_Rarely"/>
    <n v="982"/>
    <x v="1"/>
    <n v="12"/>
    <n v="3"/>
    <s v="Life Sciences"/>
    <n v="520"/>
    <n v="1"/>
    <s v="Male"/>
    <n v="59"/>
    <n v="2"/>
    <n v="4"/>
    <x v="7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  <x v="1"/>
    <n v="129024"/>
    <x v="0"/>
    <n v="0"/>
  </r>
  <r>
    <n v="40"/>
    <x v="1"/>
    <s v="Travel_Rarely"/>
    <n v="555"/>
    <x v="1"/>
    <n v="2"/>
    <n v="3"/>
    <s v="Medical"/>
    <n v="521"/>
    <n v="2"/>
    <s v="Female"/>
    <n v="78"/>
    <n v="2"/>
    <n v="2"/>
    <x v="2"/>
    <n v="3"/>
    <s v="Married"/>
    <n v="3448"/>
    <n v="13436"/>
    <n v="6"/>
    <s v="No"/>
    <n v="22"/>
    <n v="4"/>
    <n v="2"/>
    <n v="1"/>
    <n v="20"/>
    <n v="3"/>
    <n v="3"/>
    <n v="1"/>
    <n v="0"/>
    <n v="0"/>
    <n v="0"/>
    <x v="3"/>
    <n v="31032"/>
    <x v="1"/>
    <n v="0"/>
  </r>
  <r>
    <n v="54"/>
    <x v="1"/>
    <s v="Travel_Rarely"/>
    <n v="821"/>
    <x v="1"/>
    <n v="5"/>
    <n v="2"/>
    <s v="Medical"/>
    <n v="522"/>
    <n v="1"/>
    <s v="Male"/>
    <n v="86"/>
    <n v="3"/>
    <n v="5"/>
    <x v="7"/>
    <n v="1"/>
    <s v="Married"/>
    <n v="19406"/>
    <n v="8509"/>
    <n v="4"/>
    <s v="No"/>
    <n v="11"/>
    <n v="3"/>
    <n v="3"/>
    <n v="1"/>
    <n v="24"/>
    <n v="4"/>
    <n v="2"/>
    <n v="4"/>
    <n v="2"/>
    <n v="1"/>
    <n v="2"/>
    <x v="0"/>
    <n v="174654"/>
    <x v="0"/>
    <n v="0"/>
  </r>
  <r>
    <n v="34"/>
    <x v="1"/>
    <s v="Non-Travel"/>
    <n v="1381"/>
    <x v="0"/>
    <n v="4"/>
    <n v="4"/>
    <s v="Marketing"/>
    <n v="523"/>
    <n v="3"/>
    <s v="Female"/>
    <n v="72"/>
    <n v="3"/>
    <n v="2"/>
    <x v="0"/>
    <n v="3"/>
    <s v="Married"/>
    <n v="6538"/>
    <n v="12740"/>
    <n v="9"/>
    <s v="No"/>
    <n v="15"/>
    <n v="3"/>
    <n v="1"/>
    <n v="1"/>
    <n v="6"/>
    <n v="3"/>
    <n v="3"/>
    <n v="3"/>
    <n v="2"/>
    <n v="1"/>
    <n v="2"/>
    <x v="3"/>
    <n v="58842"/>
    <x v="1"/>
    <n v="0"/>
  </r>
  <r>
    <n v="31"/>
    <x v="1"/>
    <s v="Travel_Rarely"/>
    <n v="480"/>
    <x v="1"/>
    <n v="7"/>
    <n v="2"/>
    <s v="Medical"/>
    <n v="524"/>
    <n v="2"/>
    <s v="Female"/>
    <n v="31"/>
    <n v="3"/>
    <n v="2"/>
    <x v="3"/>
    <n v="1"/>
    <s v="Married"/>
    <n v="4306"/>
    <n v="4156"/>
    <n v="1"/>
    <s v="No"/>
    <n v="12"/>
    <n v="3"/>
    <n v="2"/>
    <n v="1"/>
    <n v="13"/>
    <n v="5"/>
    <n v="1"/>
    <n v="13"/>
    <n v="10"/>
    <n v="3"/>
    <n v="12"/>
    <x v="1"/>
    <n v="38754"/>
    <x v="0"/>
    <n v="0"/>
  </r>
  <r>
    <n v="43"/>
    <x v="1"/>
    <s v="Travel_Frequently"/>
    <n v="313"/>
    <x v="1"/>
    <n v="21"/>
    <n v="3"/>
    <s v="Medical"/>
    <n v="525"/>
    <n v="4"/>
    <s v="Male"/>
    <n v="61"/>
    <n v="3"/>
    <n v="1"/>
    <x v="2"/>
    <n v="4"/>
    <s v="Married"/>
    <n v="2258"/>
    <n v="15238"/>
    <n v="7"/>
    <s v="No"/>
    <n v="20"/>
    <n v="4"/>
    <n v="1"/>
    <n v="1"/>
    <n v="8"/>
    <n v="1"/>
    <n v="3"/>
    <n v="3"/>
    <n v="2"/>
    <n v="1"/>
    <n v="2"/>
    <x v="3"/>
    <n v="20322"/>
    <x v="1"/>
    <n v="0"/>
  </r>
  <r>
    <n v="43"/>
    <x v="1"/>
    <s v="Travel_Rarely"/>
    <n v="1473"/>
    <x v="1"/>
    <n v="8"/>
    <n v="4"/>
    <s v="Other"/>
    <n v="526"/>
    <n v="3"/>
    <s v="Female"/>
    <n v="74"/>
    <n v="3"/>
    <n v="2"/>
    <x v="4"/>
    <n v="3"/>
    <s v="Divorced"/>
    <n v="4522"/>
    <n v="2227"/>
    <n v="4"/>
    <s v="Yes"/>
    <n v="14"/>
    <n v="3"/>
    <n v="4"/>
    <n v="0"/>
    <n v="8"/>
    <n v="3"/>
    <n v="3"/>
    <n v="5"/>
    <n v="2"/>
    <n v="0"/>
    <n v="2"/>
    <x v="0"/>
    <n v="40698"/>
    <x v="0"/>
    <n v="0"/>
  </r>
  <r>
    <n v="25"/>
    <x v="1"/>
    <s v="Travel_Rarely"/>
    <n v="891"/>
    <x v="0"/>
    <n v="4"/>
    <n v="2"/>
    <s v="Life Sciences"/>
    <n v="527"/>
    <n v="2"/>
    <s v="Female"/>
    <n v="99"/>
    <n v="2"/>
    <n v="2"/>
    <x v="0"/>
    <n v="4"/>
    <s v="Single"/>
    <n v="4487"/>
    <n v="12090"/>
    <n v="1"/>
    <s v="Yes"/>
    <n v="11"/>
    <n v="3"/>
    <n v="2"/>
    <n v="0"/>
    <n v="5"/>
    <n v="3"/>
    <n v="3"/>
    <n v="5"/>
    <n v="4"/>
    <n v="1"/>
    <n v="3"/>
    <x v="0"/>
    <n v="40383"/>
    <x v="0"/>
    <n v="0"/>
  </r>
  <r>
    <n v="37"/>
    <x v="1"/>
    <s v="Non-Travel"/>
    <n v="1063"/>
    <x v="1"/>
    <n v="25"/>
    <n v="5"/>
    <s v="Medical"/>
    <n v="529"/>
    <n v="2"/>
    <s v="Female"/>
    <n v="72"/>
    <n v="3"/>
    <n v="2"/>
    <x v="1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  <x v="1"/>
    <n v="40041"/>
    <x v="0"/>
    <n v="0"/>
  </r>
  <r>
    <n v="31"/>
    <x v="1"/>
    <s v="Travel_Rarely"/>
    <n v="329"/>
    <x v="1"/>
    <n v="1"/>
    <n v="2"/>
    <s v="Life Sciences"/>
    <n v="530"/>
    <n v="4"/>
    <s v="Male"/>
    <n v="98"/>
    <n v="2"/>
    <n v="1"/>
    <x v="2"/>
    <n v="1"/>
    <s v="Married"/>
    <n v="2218"/>
    <n v="16193"/>
    <n v="1"/>
    <s v="No"/>
    <n v="12"/>
    <n v="3"/>
    <n v="3"/>
    <n v="1"/>
    <n v="4"/>
    <n v="3"/>
    <n v="3"/>
    <n v="4"/>
    <n v="2"/>
    <n v="3"/>
    <n v="2"/>
    <x v="0"/>
    <n v="19962"/>
    <x v="0"/>
    <n v="0"/>
  </r>
  <r>
    <n v="39"/>
    <x v="1"/>
    <s v="Travel_Frequently"/>
    <n v="1218"/>
    <x v="1"/>
    <n v="1"/>
    <n v="1"/>
    <s v="Life Sciences"/>
    <n v="531"/>
    <n v="2"/>
    <s v="Male"/>
    <n v="52"/>
    <n v="3"/>
    <n v="5"/>
    <x v="5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  <x v="1"/>
    <n v="172773"/>
    <x v="0"/>
    <n v="0"/>
  </r>
  <r>
    <n v="56"/>
    <x v="1"/>
    <s v="Travel_Frequently"/>
    <n v="906"/>
    <x v="0"/>
    <n v="6"/>
    <n v="3"/>
    <s v="Life Sciences"/>
    <n v="532"/>
    <n v="3"/>
    <s v="Female"/>
    <n v="86"/>
    <n v="4"/>
    <n v="4"/>
    <x v="0"/>
    <n v="1"/>
    <s v="Married"/>
    <n v="13212"/>
    <n v="18256"/>
    <n v="9"/>
    <s v="No"/>
    <n v="11"/>
    <n v="3"/>
    <n v="4"/>
    <n v="3"/>
    <n v="36"/>
    <n v="0"/>
    <n v="2"/>
    <n v="7"/>
    <n v="7"/>
    <n v="7"/>
    <n v="7"/>
    <x v="1"/>
    <n v="118908"/>
    <x v="0"/>
    <n v="0"/>
  </r>
  <r>
    <n v="30"/>
    <x v="1"/>
    <s v="Travel_Rarely"/>
    <n v="1082"/>
    <x v="0"/>
    <n v="12"/>
    <n v="3"/>
    <s v="Technical Degree"/>
    <n v="533"/>
    <n v="2"/>
    <s v="Female"/>
    <n v="83"/>
    <n v="3"/>
    <n v="2"/>
    <x v="0"/>
    <n v="3"/>
    <s v="Single"/>
    <n v="6577"/>
    <n v="19558"/>
    <n v="0"/>
    <s v="No"/>
    <n v="11"/>
    <n v="3"/>
    <n v="2"/>
    <n v="0"/>
    <n v="6"/>
    <n v="6"/>
    <n v="3"/>
    <n v="5"/>
    <n v="4"/>
    <n v="4"/>
    <n v="4"/>
    <x v="0"/>
    <n v="59193"/>
    <x v="1"/>
    <n v="0"/>
  </r>
  <r>
    <n v="41"/>
    <x v="1"/>
    <s v="Travel_Rarely"/>
    <n v="645"/>
    <x v="0"/>
    <n v="1"/>
    <n v="3"/>
    <s v="Marketing"/>
    <n v="534"/>
    <n v="2"/>
    <s v="Male"/>
    <n v="49"/>
    <n v="4"/>
    <n v="3"/>
    <x v="0"/>
    <n v="1"/>
    <s v="Married"/>
    <n v="8392"/>
    <n v="19566"/>
    <n v="1"/>
    <s v="No"/>
    <n v="16"/>
    <n v="3"/>
    <n v="3"/>
    <n v="1"/>
    <n v="10"/>
    <n v="2"/>
    <n v="3"/>
    <n v="10"/>
    <n v="7"/>
    <n v="0"/>
    <n v="7"/>
    <x v="1"/>
    <n v="75528"/>
    <x v="0"/>
    <n v="0"/>
  </r>
  <r>
    <n v="28"/>
    <x v="1"/>
    <s v="Travel_Rarely"/>
    <n v="1300"/>
    <x v="1"/>
    <n v="17"/>
    <n v="2"/>
    <s v="Medical"/>
    <n v="536"/>
    <n v="3"/>
    <s v="Male"/>
    <n v="79"/>
    <n v="3"/>
    <n v="2"/>
    <x v="2"/>
    <n v="1"/>
    <s v="Divorced"/>
    <n v="4558"/>
    <n v="13535"/>
    <n v="1"/>
    <s v="No"/>
    <n v="12"/>
    <n v="3"/>
    <n v="4"/>
    <n v="1"/>
    <n v="10"/>
    <n v="2"/>
    <n v="3"/>
    <n v="10"/>
    <n v="0"/>
    <n v="1"/>
    <n v="8"/>
    <x v="1"/>
    <n v="41022"/>
    <x v="0"/>
    <n v="0"/>
  </r>
  <r>
    <n v="25"/>
    <x v="0"/>
    <s v="Travel_Rarely"/>
    <n v="688"/>
    <x v="1"/>
    <n v="3"/>
    <n v="3"/>
    <s v="Medical"/>
    <n v="538"/>
    <n v="1"/>
    <s v="Male"/>
    <n v="91"/>
    <n v="3"/>
    <n v="1"/>
    <x v="2"/>
    <n v="1"/>
    <s v="Married"/>
    <n v="4031"/>
    <n v="9396"/>
    <n v="5"/>
    <s v="No"/>
    <n v="13"/>
    <n v="3"/>
    <n v="3"/>
    <n v="1"/>
    <n v="6"/>
    <n v="5"/>
    <n v="3"/>
    <n v="2"/>
    <n v="2"/>
    <n v="0"/>
    <n v="2"/>
    <x v="3"/>
    <n v="36279"/>
    <x v="0"/>
    <n v="36279"/>
  </r>
  <r>
    <n v="52"/>
    <x v="1"/>
    <s v="Travel_Rarely"/>
    <n v="319"/>
    <x v="1"/>
    <n v="3"/>
    <n v="3"/>
    <s v="Medical"/>
    <n v="543"/>
    <n v="4"/>
    <s v="Male"/>
    <n v="39"/>
    <n v="2"/>
    <n v="3"/>
    <x v="3"/>
    <n v="3"/>
    <s v="Married"/>
    <n v="7969"/>
    <n v="19609"/>
    <n v="2"/>
    <s v="Yes"/>
    <n v="14"/>
    <n v="3"/>
    <n v="3"/>
    <n v="0"/>
    <n v="28"/>
    <n v="4"/>
    <n v="3"/>
    <n v="5"/>
    <n v="4"/>
    <n v="0"/>
    <n v="4"/>
    <x v="0"/>
    <n v="71721"/>
    <x v="0"/>
    <n v="0"/>
  </r>
  <r>
    <n v="45"/>
    <x v="1"/>
    <s v="Travel_Rarely"/>
    <n v="192"/>
    <x v="1"/>
    <n v="10"/>
    <n v="2"/>
    <s v="Life Sciences"/>
    <n v="544"/>
    <n v="1"/>
    <s v="Male"/>
    <n v="69"/>
    <n v="3"/>
    <n v="1"/>
    <x v="1"/>
    <n v="4"/>
    <s v="Married"/>
    <n v="2654"/>
    <n v="9655"/>
    <n v="3"/>
    <s v="No"/>
    <n v="21"/>
    <n v="4"/>
    <n v="4"/>
    <n v="2"/>
    <n v="8"/>
    <n v="3"/>
    <n v="2"/>
    <n v="2"/>
    <n v="2"/>
    <n v="0"/>
    <n v="2"/>
    <x v="3"/>
    <n v="23886"/>
    <x v="1"/>
    <n v="0"/>
  </r>
  <r>
    <n v="52"/>
    <x v="1"/>
    <s v="Travel_Rarely"/>
    <n v="1490"/>
    <x v="1"/>
    <n v="4"/>
    <n v="2"/>
    <s v="Life Sciences"/>
    <n v="546"/>
    <n v="4"/>
    <s v="Female"/>
    <n v="30"/>
    <n v="3"/>
    <n v="4"/>
    <x v="5"/>
    <n v="4"/>
    <s v="Married"/>
    <n v="16555"/>
    <n v="10310"/>
    <n v="2"/>
    <s v="No"/>
    <n v="13"/>
    <n v="3"/>
    <n v="4"/>
    <n v="0"/>
    <n v="31"/>
    <n v="2"/>
    <n v="1"/>
    <n v="5"/>
    <n v="2"/>
    <n v="1"/>
    <n v="4"/>
    <x v="0"/>
    <n v="148995"/>
    <x v="1"/>
    <n v="0"/>
  </r>
  <r>
    <n v="42"/>
    <x v="1"/>
    <s v="Travel_Frequently"/>
    <n v="532"/>
    <x v="1"/>
    <n v="29"/>
    <n v="2"/>
    <s v="Life Sciences"/>
    <n v="547"/>
    <n v="1"/>
    <s v="Female"/>
    <n v="92"/>
    <n v="3"/>
    <n v="2"/>
    <x v="1"/>
    <n v="3"/>
    <s v="Divorced"/>
    <n v="4556"/>
    <n v="12932"/>
    <n v="2"/>
    <s v="No"/>
    <n v="11"/>
    <n v="3"/>
    <n v="2"/>
    <n v="1"/>
    <n v="19"/>
    <n v="3"/>
    <n v="3"/>
    <n v="5"/>
    <n v="4"/>
    <n v="0"/>
    <n v="2"/>
    <x v="0"/>
    <n v="41004"/>
    <x v="1"/>
    <n v="0"/>
  </r>
  <r>
    <n v="30"/>
    <x v="1"/>
    <s v="Travel_Rarely"/>
    <n v="317"/>
    <x v="1"/>
    <n v="2"/>
    <n v="3"/>
    <s v="Life Sciences"/>
    <n v="548"/>
    <n v="3"/>
    <s v="Female"/>
    <n v="43"/>
    <n v="1"/>
    <n v="2"/>
    <x v="3"/>
    <n v="4"/>
    <s v="Single"/>
    <n v="6091"/>
    <n v="24793"/>
    <n v="2"/>
    <s v="No"/>
    <n v="20"/>
    <n v="4"/>
    <n v="3"/>
    <n v="0"/>
    <n v="11"/>
    <n v="2"/>
    <n v="3"/>
    <n v="5"/>
    <n v="4"/>
    <n v="0"/>
    <n v="2"/>
    <x v="0"/>
    <n v="54819"/>
    <x v="1"/>
    <n v="0"/>
  </r>
  <r>
    <n v="60"/>
    <x v="1"/>
    <s v="Travel_Rarely"/>
    <n v="422"/>
    <x v="1"/>
    <n v="7"/>
    <n v="3"/>
    <s v="Life Sciences"/>
    <n v="549"/>
    <n v="1"/>
    <s v="Female"/>
    <n v="41"/>
    <n v="3"/>
    <n v="5"/>
    <x v="5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  <x v="1"/>
    <n v="176094"/>
    <x v="0"/>
    <n v="0"/>
  </r>
  <r>
    <n v="46"/>
    <x v="1"/>
    <s v="Travel_Rarely"/>
    <n v="1485"/>
    <x v="1"/>
    <n v="18"/>
    <n v="3"/>
    <s v="Medical"/>
    <n v="550"/>
    <n v="3"/>
    <s v="Female"/>
    <n v="87"/>
    <n v="3"/>
    <n v="2"/>
    <x v="3"/>
    <n v="3"/>
    <s v="Divorced"/>
    <n v="4810"/>
    <n v="26314"/>
    <n v="2"/>
    <s v="No"/>
    <n v="14"/>
    <n v="3"/>
    <n v="3"/>
    <n v="1"/>
    <n v="19"/>
    <n v="5"/>
    <n v="2"/>
    <n v="10"/>
    <n v="7"/>
    <n v="0"/>
    <n v="8"/>
    <x v="1"/>
    <n v="43290"/>
    <x v="1"/>
    <n v="0"/>
  </r>
  <r>
    <n v="42"/>
    <x v="1"/>
    <s v="Travel_Frequently"/>
    <n v="1368"/>
    <x v="1"/>
    <n v="28"/>
    <n v="4"/>
    <s v="Technical Degree"/>
    <n v="551"/>
    <n v="4"/>
    <s v="Female"/>
    <n v="88"/>
    <n v="2"/>
    <n v="2"/>
    <x v="4"/>
    <n v="4"/>
    <s v="Married"/>
    <n v="4523"/>
    <n v="4386"/>
    <n v="0"/>
    <s v="No"/>
    <n v="11"/>
    <n v="3"/>
    <n v="4"/>
    <n v="3"/>
    <n v="7"/>
    <n v="4"/>
    <n v="4"/>
    <n v="6"/>
    <n v="5"/>
    <n v="0"/>
    <n v="4"/>
    <x v="0"/>
    <n v="40707"/>
    <x v="1"/>
    <n v="0"/>
  </r>
  <r>
    <n v="24"/>
    <x v="0"/>
    <s v="Travel_Rarely"/>
    <n v="1448"/>
    <x v="0"/>
    <n v="1"/>
    <n v="1"/>
    <s v="Technical Degree"/>
    <n v="554"/>
    <n v="1"/>
    <s v="Female"/>
    <n v="62"/>
    <n v="3"/>
    <n v="1"/>
    <x v="6"/>
    <n v="2"/>
    <s v="Single"/>
    <n v="3202"/>
    <n v="21972"/>
    <n v="1"/>
    <s v="Yes"/>
    <n v="16"/>
    <n v="3"/>
    <n v="2"/>
    <n v="0"/>
    <n v="6"/>
    <n v="4"/>
    <n v="3"/>
    <n v="5"/>
    <n v="3"/>
    <n v="1"/>
    <n v="4"/>
    <x v="0"/>
    <n v="28818"/>
    <x v="0"/>
    <n v="28818"/>
  </r>
  <r>
    <n v="34"/>
    <x v="0"/>
    <s v="Travel_Frequently"/>
    <n v="296"/>
    <x v="0"/>
    <n v="6"/>
    <n v="2"/>
    <s v="Marketing"/>
    <n v="555"/>
    <n v="4"/>
    <s v="Female"/>
    <n v="33"/>
    <n v="1"/>
    <n v="1"/>
    <x v="6"/>
    <n v="3"/>
    <s v="Divorced"/>
    <n v="2351"/>
    <n v="12253"/>
    <n v="0"/>
    <s v="No"/>
    <n v="16"/>
    <n v="3"/>
    <n v="4"/>
    <n v="1"/>
    <n v="3"/>
    <n v="3"/>
    <n v="2"/>
    <n v="2"/>
    <n v="2"/>
    <n v="1"/>
    <n v="0"/>
    <x v="3"/>
    <n v="21159"/>
    <x v="1"/>
    <n v="21159"/>
  </r>
  <r>
    <n v="38"/>
    <x v="1"/>
    <s v="Travel_Frequently"/>
    <n v="1490"/>
    <x v="1"/>
    <n v="2"/>
    <n v="2"/>
    <s v="Life Sciences"/>
    <n v="556"/>
    <n v="4"/>
    <s v="Male"/>
    <n v="42"/>
    <n v="3"/>
    <n v="1"/>
    <x v="2"/>
    <n v="4"/>
    <s v="Married"/>
    <n v="1702"/>
    <n v="12106"/>
    <n v="1"/>
    <s v="Yes"/>
    <n v="23"/>
    <n v="4"/>
    <n v="3"/>
    <n v="1"/>
    <n v="1"/>
    <n v="3"/>
    <n v="3"/>
    <n v="1"/>
    <n v="0"/>
    <n v="0"/>
    <n v="0"/>
    <x v="3"/>
    <n v="15318"/>
    <x v="0"/>
    <n v="0"/>
  </r>
  <r>
    <n v="40"/>
    <x v="1"/>
    <s v="Travel_Rarely"/>
    <n v="1398"/>
    <x v="0"/>
    <n v="2"/>
    <n v="4"/>
    <s v="Life Sciences"/>
    <n v="558"/>
    <n v="3"/>
    <s v="Female"/>
    <n v="79"/>
    <n v="3"/>
    <n v="5"/>
    <x v="5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  <x v="1"/>
    <n v="162369"/>
    <x v="1"/>
    <n v="0"/>
  </r>
  <r>
    <n v="26"/>
    <x v="1"/>
    <s v="Travel_Rarely"/>
    <n v="1349"/>
    <x v="1"/>
    <n v="23"/>
    <n v="3"/>
    <s v="Life Sciences"/>
    <n v="560"/>
    <n v="1"/>
    <s v="Female"/>
    <n v="90"/>
    <n v="3"/>
    <n v="1"/>
    <x v="1"/>
    <n v="4"/>
    <s v="Divorced"/>
    <n v="2886"/>
    <n v="3032"/>
    <n v="1"/>
    <s v="No"/>
    <n v="22"/>
    <n v="4"/>
    <n v="2"/>
    <n v="2"/>
    <n v="3"/>
    <n v="3"/>
    <n v="1"/>
    <n v="3"/>
    <n v="2"/>
    <n v="0"/>
    <n v="2"/>
    <x v="3"/>
    <n v="25974"/>
    <x v="1"/>
    <n v="0"/>
  </r>
  <r>
    <n v="30"/>
    <x v="1"/>
    <s v="Non-Travel"/>
    <n v="1400"/>
    <x v="1"/>
    <n v="3"/>
    <n v="3"/>
    <s v="Life Sciences"/>
    <n v="562"/>
    <n v="3"/>
    <s v="Male"/>
    <n v="53"/>
    <n v="3"/>
    <n v="1"/>
    <x v="2"/>
    <n v="4"/>
    <s v="Married"/>
    <n v="2097"/>
    <n v="16734"/>
    <n v="4"/>
    <s v="No"/>
    <n v="15"/>
    <n v="3"/>
    <n v="3"/>
    <n v="1"/>
    <n v="9"/>
    <n v="3"/>
    <n v="1"/>
    <n v="5"/>
    <n v="3"/>
    <n v="1"/>
    <n v="4"/>
    <x v="0"/>
    <n v="18873"/>
    <x v="1"/>
    <n v="0"/>
  </r>
  <r>
    <n v="29"/>
    <x v="1"/>
    <s v="Travel_Rarely"/>
    <n v="986"/>
    <x v="1"/>
    <n v="3"/>
    <n v="4"/>
    <s v="Medical"/>
    <n v="564"/>
    <n v="2"/>
    <s v="Male"/>
    <n v="93"/>
    <n v="2"/>
    <n v="3"/>
    <x v="7"/>
    <n v="3"/>
    <s v="Married"/>
    <n v="11935"/>
    <n v="21526"/>
    <n v="1"/>
    <s v="No"/>
    <n v="18"/>
    <n v="3"/>
    <n v="3"/>
    <n v="0"/>
    <n v="10"/>
    <n v="2"/>
    <n v="3"/>
    <n v="10"/>
    <n v="2"/>
    <n v="0"/>
    <n v="7"/>
    <x v="1"/>
    <n v="107415"/>
    <x v="1"/>
    <n v="0"/>
  </r>
  <r>
    <n v="29"/>
    <x v="0"/>
    <s v="Travel_Rarely"/>
    <n v="408"/>
    <x v="1"/>
    <n v="25"/>
    <n v="5"/>
    <s v="Technical Degree"/>
    <n v="565"/>
    <n v="3"/>
    <s v="Female"/>
    <n v="71"/>
    <n v="2"/>
    <n v="1"/>
    <x v="1"/>
    <n v="2"/>
    <s v="Married"/>
    <n v="2546"/>
    <n v="18300"/>
    <n v="5"/>
    <s v="No"/>
    <n v="16"/>
    <n v="3"/>
    <n v="2"/>
    <n v="0"/>
    <n v="6"/>
    <n v="2"/>
    <n v="4"/>
    <n v="2"/>
    <n v="2"/>
    <n v="1"/>
    <n v="1"/>
    <x v="3"/>
    <n v="22914"/>
    <x v="0"/>
    <n v="22914"/>
  </r>
  <r>
    <n v="19"/>
    <x v="0"/>
    <s v="Travel_Rarely"/>
    <n v="489"/>
    <x v="2"/>
    <n v="2"/>
    <n v="2"/>
    <s v="Technical Degree"/>
    <n v="566"/>
    <n v="1"/>
    <s v="Male"/>
    <n v="52"/>
    <n v="2"/>
    <n v="1"/>
    <x v="8"/>
    <n v="4"/>
    <s v="Single"/>
    <n v="2564"/>
    <n v="18437"/>
    <n v="1"/>
    <s v="No"/>
    <n v="12"/>
    <n v="3"/>
    <n v="3"/>
    <n v="0"/>
    <n v="1"/>
    <n v="3"/>
    <n v="4"/>
    <n v="1"/>
    <n v="0"/>
    <n v="0"/>
    <n v="0"/>
    <x v="3"/>
    <n v="23076"/>
    <x v="1"/>
    <n v="23076"/>
  </r>
  <r>
    <n v="30"/>
    <x v="1"/>
    <s v="Non-Travel"/>
    <n v="1398"/>
    <x v="0"/>
    <n v="22"/>
    <n v="4"/>
    <s v="Other"/>
    <n v="567"/>
    <n v="3"/>
    <s v="Female"/>
    <n v="69"/>
    <n v="3"/>
    <n v="3"/>
    <x v="0"/>
    <n v="1"/>
    <s v="Married"/>
    <n v="8412"/>
    <n v="2890"/>
    <n v="0"/>
    <s v="No"/>
    <n v="11"/>
    <n v="3"/>
    <n v="3"/>
    <n v="0"/>
    <n v="10"/>
    <n v="3"/>
    <n v="3"/>
    <n v="9"/>
    <n v="8"/>
    <n v="7"/>
    <n v="8"/>
    <x v="1"/>
    <n v="75708"/>
    <x v="0"/>
    <n v="0"/>
  </r>
  <r>
    <n v="57"/>
    <x v="1"/>
    <s v="Travel_Rarely"/>
    <n v="210"/>
    <x v="0"/>
    <n v="29"/>
    <n v="3"/>
    <s v="Marketing"/>
    <n v="568"/>
    <n v="1"/>
    <s v="Male"/>
    <n v="56"/>
    <n v="2"/>
    <n v="4"/>
    <x v="5"/>
    <n v="4"/>
    <s v="Divorced"/>
    <n v="14118"/>
    <n v="22102"/>
    <n v="3"/>
    <s v="No"/>
    <n v="12"/>
    <n v="3"/>
    <n v="3"/>
    <n v="1"/>
    <n v="32"/>
    <n v="3"/>
    <n v="2"/>
    <n v="1"/>
    <n v="0"/>
    <n v="0"/>
    <n v="0"/>
    <x v="3"/>
    <n v="127062"/>
    <x v="1"/>
    <n v="0"/>
  </r>
  <r>
    <n v="50"/>
    <x v="1"/>
    <s v="Travel_Rarely"/>
    <n v="1099"/>
    <x v="1"/>
    <n v="29"/>
    <n v="4"/>
    <s v="Life Sciences"/>
    <n v="569"/>
    <n v="2"/>
    <s v="Male"/>
    <n v="88"/>
    <n v="2"/>
    <n v="4"/>
    <x v="5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  <x v="1"/>
    <n v="153414"/>
    <x v="1"/>
    <n v="0"/>
  </r>
  <r>
    <n v="30"/>
    <x v="1"/>
    <s v="Non-Travel"/>
    <n v="1116"/>
    <x v="1"/>
    <n v="2"/>
    <n v="3"/>
    <s v="Medical"/>
    <n v="571"/>
    <n v="3"/>
    <s v="Female"/>
    <n v="49"/>
    <n v="3"/>
    <n v="1"/>
    <x v="2"/>
    <n v="4"/>
    <s v="Single"/>
    <n v="2564"/>
    <n v="7181"/>
    <n v="0"/>
    <s v="No"/>
    <n v="14"/>
    <n v="3"/>
    <n v="3"/>
    <n v="0"/>
    <n v="12"/>
    <n v="2"/>
    <n v="2"/>
    <n v="11"/>
    <n v="7"/>
    <n v="6"/>
    <n v="7"/>
    <x v="1"/>
    <n v="23076"/>
    <x v="1"/>
    <n v="0"/>
  </r>
  <r>
    <n v="60"/>
    <x v="1"/>
    <s v="Travel_Frequently"/>
    <n v="1499"/>
    <x v="0"/>
    <n v="28"/>
    <n v="3"/>
    <s v="Marketing"/>
    <n v="573"/>
    <n v="3"/>
    <s v="Female"/>
    <n v="80"/>
    <n v="2"/>
    <n v="3"/>
    <x v="0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  <x v="1"/>
    <n v="92394"/>
    <x v="0"/>
    <n v="0"/>
  </r>
  <r>
    <n v="47"/>
    <x v="1"/>
    <s v="Travel_Rarely"/>
    <n v="983"/>
    <x v="1"/>
    <n v="2"/>
    <n v="2"/>
    <s v="Medical"/>
    <n v="574"/>
    <n v="1"/>
    <s v="Female"/>
    <n v="65"/>
    <n v="3"/>
    <n v="2"/>
    <x v="3"/>
    <n v="4"/>
    <s v="Divorced"/>
    <n v="5070"/>
    <n v="7389"/>
    <n v="5"/>
    <s v="No"/>
    <n v="13"/>
    <n v="3"/>
    <n v="3"/>
    <n v="3"/>
    <n v="20"/>
    <n v="2"/>
    <n v="3"/>
    <n v="5"/>
    <n v="0"/>
    <n v="0"/>
    <n v="4"/>
    <x v="0"/>
    <n v="45630"/>
    <x v="1"/>
    <n v="0"/>
  </r>
  <r>
    <n v="46"/>
    <x v="1"/>
    <s v="Travel_Rarely"/>
    <n v="1009"/>
    <x v="1"/>
    <n v="2"/>
    <n v="3"/>
    <s v="Life Sciences"/>
    <n v="575"/>
    <n v="1"/>
    <s v="Male"/>
    <n v="51"/>
    <n v="3"/>
    <n v="4"/>
    <x v="7"/>
    <n v="3"/>
    <s v="Married"/>
    <n v="17861"/>
    <n v="2288"/>
    <n v="6"/>
    <s v="No"/>
    <n v="13"/>
    <n v="3"/>
    <n v="3"/>
    <n v="0"/>
    <n v="26"/>
    <n v="2"/>
    <n v="1"/>
    <n v="3"/>
    <n v="2"/>
    <n v="0"/>
    <n v="1"/>
    <x v="3"/>
    <n v="160749"/>
    <x v="1"/>
    <n v="0"/>
  </r>
  <r>
    <n v="35"/>
    <x v="1"/>
    <s v="Travel_Rarely"/>
    <n v="144"/>
    <x v="1"/>
    <n v="22"/>
    <n v="3"/>
    <s v="Life Sciences"/>
    <n v="577"/>
    <n v="4"/>
    <s v="Male"/>
    <n v="46"/>
    <n v="1"/>
    <n v="1"/>
    <x v="2"/>
    <n v="3"/>
    <s v="Single"/>
    <n v="4230"/>
    <n v="19225"/>
    <n v="0"/>
    <s v="No"/>
    <n v="15"/>
    <n v="3"/>
    <n v="3"/>
    <n v="0"/>
    <n v="6"/>
    <n v="2"/>
    <n v="3"/>
    <n v="5"/>
    <n v="4"/>
    <n v="4"/>
    <n v="3"/>
    <x v="0"/>
    <n v="38070"/>
    <x v="1"/>
    <n v="0"/>
  </r>
  <r>
    <n v="54"/>
    <x v="1"/>
    <s v="Travel_Rarely"/>
    <n v="548"/>
    <x v="1"/>
    <n v="8"/>
    <n v="4"/>
    <s v="Life Sciences"/>
    <n v="578"/>
    <n v="3"/>
    <s v="Female"/>
    <n v="42"/>
    <n v="3"/>
    <n v="2"/>
    <x v="2"/>
    <n v="3"/>
    <s v="Single"/>
    <n v="3780"/>
    <n v="23428"/>
    <n v="7"/>
    <s v="No"/>
    <n v="11"/>
    <n v="3"/>
    <n v="3"/>
    <n v="0"/>
    <n v="19"/>
    <n v="3"/>
    <n v="3"/>
    <n v="1"/>
    <n v="0"/>
    <n v="0"/>
    <n v="0"/>
    <x v="3"/>
    <n v="34020"/>
    <x v="1"/>
    <n v="0"/>
  </r>
  <r>
    <n v="34"/>
    <x v="1"/>
    <s v="Travel_Rarely"/>
    <n v="1303"/>
    <x v="1"/>
    <n v="2"/>
    <n v="4"/>
    <s v="Life Sciences"/>
    <n v="579"/>
    <n v="4"/>
    <s v="Male"/>
    <n v="62"/>
    <n v="2"/>
    <n v="1"/>
    <x v="1"/>
    <n v="3"/>
    <s v="Divorced"/>
    <n v="2768"/>
    <n v="8416"/>
    <n v="3"/>
    <s v="No"/>
    <n v="12"/>
    <n v="3"/>
    <n v="3"/>
    <n v="1"/>
    <n v="14"/>
    <n v="3"/>
    <n v="3"/>
    <n v="7"/>
    <n v="3"/>
    <n v="5"/>
    <n v="7"/>
    <x v="1"/>
    <n v="24912"/>
    <x v="1"/>
    <n v="0"/>
  </r>
  <r>
    <n v="46"/>
    <x v="1"/>
    <s v="Travel_Rarely"/>
    <n v="1125"/>
    <x v="0"/>
    <n v="10"/>
    <n v="3"/>
    <s v="Marketing"/>
    <n v="580"/>
    <n v="3"/>
    <s v="Female"/>
    <n v="94"/>
    <n v="2"/>
    <n v="3"/>
    <x v="0"/>
    <n v="4"/>
    <s v="Married"/>
    <n v="9071"/>
    <n v="11563"/>
    <n v="2"/>
    <s v="Yes"/>
    <n v="19"/>
    <n v="3"/>
    <n v="3"/>
    <n v="1"/>
    <n v="15"/>
    <n v="3"/>
    <n v="3"/>
    <n v="3"/>
    <n v="2"/>
    <n v="1"/>
    <n v="2"/>
    <x v="3"/>
    <n v="81639"/>
    <x v="0"/>
    <n v="0"/>
  </r>
  <r>
    <n v="31"/>
    <x v="1"/>
    <s v="Travel_Rarely"/>
    <n v="1274"/>
    <x v="1"/>
    <n v="9"/>
    <n v="1"/>
    <s v="Life Sciences"/>
    <n v="581"/>
    <n v="3"/>
    <s v="Male"/>
    <n v="33"/>
    <n v="3"/>
    <n v="3"/>
    <x v="3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  <x v="1"/>
    <n v="95832"/>
    <x v="0"/>
    <n v="0"/>
  </r>
  <r>
    <n v="33"/>
    <x v="0"/>
    <s v="Travel_Rarely"/>
    <n v="1277"/>
    <x v="1"/>
    <n v="15"/>
    <n v="1"/>
    <s v="Medical"/>
    <n v="582"/>
    <n v="2"/>
    <s v="Male"/>
    <n v="56"/>
    <n v="3"/>
    <n v="3"/>
    <x v="5"/>
    <n v="3"/>
    <s v="Married"/>
    <n v="13610"/>
    <n v="24619"/>
    <n v="7"/>
    <s v="Yes"/>
    <n v="12"/>
    <n v="3"/>
    <n v="4"/>
    <n v="0"/>
    <n v="15"/>
    <n v="2"/>
    <n v="4"/>
    <n v="7"/>
    <n v="6"/>
    <n v="7"/>
    <n v="7"/>
    <x v="1"/>
    <n v="122490"/>
    <x v="0"/>
    <n v="122490"/>
  </r>
  <r>
    <n v="33"/>
    <x v="0"/>
    <s v="Travel_Rarely"/>
    <n v="587"/>
    <x v="1"/>
    <n v="10"/>
    <n v="1"/>
    <s v="Medical"/>
    <n v="584"/>
    <n v="1"/>
    <s v="Male"/>
    <n v="38"/>
    <n v="1"/>
    <n v="1"/>
    <x v="2"/>
    <n v="4"/>
    <s v="Divorced"/>
    <n v="3408"/>
    <n v="6705"/>
    <n v="7"/>
    <s v="No"/>
    <n v="13"/>
    <n v="3"/>
    <n v="1"/>
    <n v="3"/>
    <n v="8"/>
    <n v="2"/>
    <n v="3"/>
    <n v="4"/>
    <n v="3"/>
    <n v="1"/>
    <n v="3"/>
    <x v="0"/>
    <n v="30672"/>
    <x v="1"/>
    <n v="30672"/>
  </r>
  <r>
    <n v="30"/>
    <x v="1"/>
    <s v="Travel_Rarely"/>
    <n v="413"/>
    <x v="0"/>
    <n v="7"/>
    <n v="1"/>
    <s v="Marketing"/>
    <n v="585"/>
    <n v="4"/>
    <s v="Male"/>
    <n v="57"/>
    <n v="3"/>
    <n v="1"/>
    <x v="6"/>
    <n v="2"/>
    <s v="Single"/>
    <n v="2983"/>
    <n v="18398"/>
    <n v="0"/>
    <s v="No"/>
    <n v="14"/>
    <n v="3"/>
    <n v="1"/>
    <n v="0"/>
    <n v="4"/>
    <n v="3"/>
    <n v="3"/>
    <n v="3"/>
    <n v="2"/>
    <n v="1"/>
    <n v="2"/>
    <x v="3"/>
    <n v="26847"/>
    <x v="0"/>
    <n v="0"/>
  </r>
  <r>
    <n v="35"/>
    <x v="1"/>
    <s v="Travel_Rarely"/>
    <n v="1276"/>
    <x v="1"/>
    <n v="16"/>
    <n v="3"/>
    <s v="Life Sciences"/>
    <n v="586"/>
    <n v="4"/>
    <s v="Male"/>
    <n v="72"/>
    <n v="3"/>
    <n v="3"/>
    <x v="4"/>
    <n v="3"/>
    <s v="Married"/>
    <n v="7632"/>
    <n v="14295"/>
    <n v="4"/>
    <s v="Yes"/>
    <n v="12"/>
    <n v="3"/>
    <n v="3"/>
    <n v="0"/>
    <n v="10"/>
    <n v="2"/>
    <n v="3"/>
    <n v="8"/>
    <n v="7"/>
    <n v="0"/>
    <n v="0"/>
    <x v="1"/>
    <n v="68688"/>
    <x v="0"/>
    <n v="0"/>
  </r>
  <r>
    <n v="31"/>
    <x v="0"/>
    <s v="Travel_Frequently"/>
    <n v="534"/>
    <x v="1"/>
    <n v="20"/>
    <n v="3"/>
    <s v="Life Sciences"/>
    <n v="587"/>
    <n v="1"/>
    <s v="Male"/>
    <n v="66"/>
    <n v="3"/>
    <n v="3"/>
    <x v="4"/>
    <n v="3"/>
    <s v="Married"/>
    <n v="9824"/>
    <n v="22908"/>
    <n v="3"/>
    <s v="No"/>
    <n v="12"/>
    <n v="3"/>
    <n v="1"/>
    <n v="0"/>
    <n v="12"/>
    <n v="2"/>
    <n v="3"/>
    <n v="1"/>
    <n v="0"/>
    <n v="0"/>
    <n v="0"/>
    <x v="3"/>
    <n v="88416"/>
    <x v="1"/>
    <n v="88416"/>
  </r>
  <r>
    <n v="34"/>
    <x v="0"/>
    <s v="Travel_Frequently"/>
    <n v="988"/>
    <x v="2"/>
    <n v="23"/>
    <n v="3"/>
    <s v="Human Resources"/>
    <n v="590"/>
    <n v="2"/>
    <s v="Female"/>
    <n v="43"/>
    <n v="3"/>
    <n v="3"/>
    <x v="8"/>
    <n v="1"/>
    <s v="Divorced"/>
    <n v="9950"/>
    <n v="11533"/>
    <n v="9"/>
    <s v="Yes"/>
    <n v="15"/>
    <n v="3"/>
    <n v="3"/>
    <n v="3"/>
    <n v="11"/>
    <n v="2"/>
    <n v="3"/>
    <n v="3"/>
    <n v="2"/>
    <n v="0"/>
    <n v="2"/>
    <x v="3"/>
    <n v="89550"/>
    <x v="2"/>
    <n v="89550"/>
  </r>
  <r>
    <n v="42"/>
    <x v="1"/>
    <s v="Travel_Frequently"/>
    <n v="1474"/>
    <x v="1"/>
    <n v="5"/>
    <n v="2"/>
    <s v="Other"/>
    <n v="591"/>
    <n v="2"/>
    <s v="Male"/>
    <n v="97"/>
    <n v="3"/>
    <n v="1"/>
    <x v="2"/>
    <n v="3"/>
    <s v="Married"/>
    <n v="2093"/>
    <n v="9260"/>
    <n v="4"/>
    <s v="No"/>
    <n v="17"/>
    <n v="3"/>
    <n v="4"/>
    <n v="1"/>
    <n v="8"/>
    <n v="4"/>
    <n v="3"/>
    <n v="2"/>
    <n v="2"/>
    <n v="2"/>
    <n v="0"/>
    <x v="3"/>
    <n v="18837"/>
    <x v="1"/>
    <n v="0"/>
  </r>
  <r>
    <n v="36"/>
    <x v="1"/>
    <s v="Non-Travel"/>
    <n v="635"/>
    <x v="0"/>
    <n v="10"/>
    <n v="4"/>
    <s v="Medical"/>
    <n v="592"/>
    <n v="2"/>
    <s v="Male"/>
    <n v="32"/>
    <n v="3"/>
    <n v="3"/>
    <x v="0"/>
    <n v="4"/>
    <s v="Single"/>
    <n v="9980"/>
    <n v="15318"/>
    <n v="1"/>
    <s v="No"/>
    <n v="14"/>
    <n v="3"/>
    <n v="4"/>
    <n v="0"/>
    <n v="10"/>
    <n v="3"/>
    <n v="2"/>
    <n v="10"/>
    <n v="3"/>
    <n v="9"/>
    <n v="7"/>
    <x v="1"/>
    <n v="89820"/>
    <x v="1"/>
    <n v="0"/>
  </r>
  <r>
    <n v="22"/>
    <x v="0"/>
    <s v="Travel_Frequently"/>
    <n v="1368"/>
    <x v="1"/>
    <n v="4"/>
    <n v="1"/>
    <s v="Technical Degree"/>
    <n v="593"/>
    <n v="3"/>
    <s v="Male"/>
    <n v="99"/>
    <n v="2"/>
    <n v="1"/>
    <x v="2"/>
    <n v="3"/>
    <s v="Single"/>
    <n v="3894"/>
    <n v="9129"/>
    <n v="5"/>
    <s v="No"/>
    <n v="16"/>
    <n v="3"/>
    <n v="3"/>
    <n v="0"/>
    <n v="4"/>
    <n v="3"/>
    <n v="3"/>
    <n v="2"/>
    <n v="2"/>
    <n v="1"/>
    <n v="2"/>
    <x v="3"/>
    <n v="35046"/>
    <x v="1"/>
    <n v="35046"/>
  </r>
  <r>
    <n v="48"/>
    <x v="1"/>
    <s v="Travel_Rarely"/>
    <n v="163"/>
    <x v="0"/>
    <n v="2"/>
    <n v="5"/>
    <s v="Marketing"/>
    <n v="595"/>
    <n v="2"/>
    <s v="Female"/>
    <n v="37"/>
    <n v="3"/>
    <n v="2"/>
    <x v="0"/>
    <n v="4"/>
    <s v="Married"/>
    <n v="4051"/>
    <n v="19658"/>
    <n v="2"/>
    <s v="No"/>
    <n v="14"/>
    <n v="3"/>
    <n v="1"/>
    <n v="1"/>
    <n v="14"/>
    <n v="2"/>
    <n v="3"/>
    <n v="9"/>
    <n v="7"/>
    <n v="6"/>
    <n v="7"/>
    <x v="1"/>
    <n v="36459"/>
    <x v="1"/>
    <n v="0"/>
  </r>
  <r>
    <n v="55"/>
    <x v="1"/>
    <s v="Travel_Rarely"/>
    <n v="1117"/>
    <x v="0"/>
    <n v="18"/>
    <n v="5"/>
    <s v="Life Sciences"/>
    <n v="597"/>
    <n v="1"/>
    <s v="Female"/>
    <n v="83"/>
    <n v="3"/>
    <n v="4"/>
    <x v="5"/>
    <n v="2"/>
    <s v="Single"/>
    <n v="16835"/>
    <n v="9873"/>
    <n v="3"/>
    <s v="No"/>
    <n v="23"/>
    <n v="4"/>
    <n v="4"/>
    <n v="0"/>
    <n v="37"/>
    <n v="2"/>
    <n v="3"/>
    <n v="10"/>
    <n v="9"/>
    <n v="7"/>
    <n v="7"/>
    <x v="1"/>
    <n v="151515"/>
    <x v="0"/>
    <n v="0"/>
  </r>
  <r>
    <n v="41"/>
    <x v="1"/>
    <s v="Non-Travel"/>
    <n v="267"/>
    <x v="0"/>
    <n v="10"/>
    <n v="2"/>
    <s v="Life Sciences"/>
    <n v="599"/>
    <n v="4"/>
    <s v="Male"/>
    <n v="56"/>
    <n v="3"/>
    <n v="2"/>
    <x v="0"/>
    <n v="4"/>
    <s v="Single"/>
    <n v="6230"/>
    <n v="13430"/>
    <n v="7"/>
    <s v="No"/>
    <n v="14"/>
    <n v="3"/>
    <n v="4"/>
    <n v="0"/>
    <n v="16"/>
    <n v="3"/>
    <n v="3"/>
    <n v="14"/>
    <n v="3"/>
    <n v="1"/>
    <n v="10"/>
    <x v="1"/>
    <n v="56070"/>
    <x v="1"/>
    <n v="0"/>
  </r>
  <r>
    <n v="35"/>
    <x v="1"/>
    <s v="Travel_Rarely"/>
    <n v="619"/>
    <x v="0"/>
    <n v="1"/>
    <n v="3"/>
    <s v="Marketing"/>
    <n v="600"/>
    <n v="2"/>
    <s v="Male"/>
    <n v="85"/>
    <n v="3"/>
    <n v="2"/>
    <x v="0"/>
    <n v="3"/>
    <s v="Married"/>
    <n v="4717"/>
    <n v="18659"/>
    <n v="9"/>
    <s v="No"/>
    <n v="11"/>
    <n v="3"/>
    <n v="3"/>
    <n v="0"/>
    <n v="15"/>
    <n v="2"/>
    <n v="3"/>
    <n v="11"/>
    <n v="9"/>
    <n v="6"/>
    <n v="9"/>
    <x v="1"/>
    <n v="42453"/>
    <x v="1"/>
    <n v="0"/>
  </r>
  <r>
    <n v="40"/>
    <x v="1"/>
    <s v="Travel_Rarely"/>
    <n v="302"/>
    <x v="1"/>
    <n v="6"/>
    <n v="3"/>
    <s v="Life Sciences"/>
    <n v="601"/>
    <n v="2"/>
    <s v="Female"/>
    <n v="75"/>
    <n v="3"/>
    <n v="4"/>
    <x v="3"/>
    <n v="3"/>
    <s v="Single"/>
    <n v="13237"/>
    <n v="20364"/>
    <n v="7"/>
    <s v="No"/>
    <n v="15"/>
    <n v="3"/>
    <n v="3"/>
    <n v="0"/>
    <n v="22"/>
    <n v="3"/>
    <n v="3"/>
    <n v="20"/>
    <n v="6"/>
    <n v="5"/>
    <n v="13"/>
    <x v="1"/>
    <n v="119133"/>
    <x v="1"/>
    <n v="0"/>
  </r>
  <r>
    <n v="39"/>
    <x v="1"/>
    <s v="Travel_Frequently"/>
    <n v="443"/>
    <x v="1"/>
    <n v="8"/>
    <n v="1"/>
    <s v="Life Sciences"/>
    <n v="602"/>
    <n v="3"/>
    <s v="Female"/>
    <n v="48"/>
    <n v="3"/>
    <n v="1"/>
    <x v="2"/>
    <n v="3"/>
    <s v="Married"/>
    <n v="3755"/>
    <n v="17872"/>
    <n v="1"/>
    <s v="No"/>
    <n v="11"/>
    <n v="3"/>
    <n v="1"/>
    <n v="1"/>
    <n v="8"/>
    <n v="3"/>
    <n v="3"/>
    <n v="8"/>
    <n v="3"/>
    <n v="0"/>
    <n v="7"/>
    <x v="1"/>
    <n v="33795"/>
    <x v="1"/>
    <n v="0"/>
  </r>
  <r>
    <n v="31"/>
    <x v="1"/>
    <s v="Travel_Rarely"/>
    <n v="828"/>
    <x v="0"/>
    <n v="2"/>
    <n v="1"/>
    <s v="Life Sciences"/>
    <n v="604"/>
    <n v="2"/>
    <s v="Male"/>
    <n v="77"/>
    <n v="3"/>
    <n v="2"/>
    <x v="0"/>
    <n v="4"/>
    <s v="Single"/>
    <n v="6582"/>
    <n v="8346"/>
    <n v="4"/>
    <s v="Yes"/>
    <n v="13"/>
    <n v="3"/>
    <n v="3"/>
    <n v="0"/>
    <n v="10"/>
    <n v="2"/>
    <n v="4"/>
    <n v="6"/>
    <n v="5"/>
    <n v="0"/>
    <n v="5"/>
    <x v="0"/>
    <n v="59238"/>
    <x v="0"/>
    <n v="0"/>
  </r>
  <r>
    <n v="42"/>
    <x v="1"/>
    <s v="Travel_Rarely"/>
    <n v="319"/>
    <x v="1"/>
    <n v="24"/>
    <n v="3"/>
    <s v="Medical"/>
    <n v="605"/>
    <n v="4"/>
    <s v="Male"/>
    <n v="56"/>
    <n v="3"/>
    <n v="3"/>
    <x v="3"/>
    <n v="1"/>
    <s v="Married"/>
    <n v="7406"/>
    <n v="6950"/>
    <n v="1"/>
    <s v="Yes"/>
    <n v="21"/>
    <n v="4"/>
    <n v="4"/>
    <n v="1"/>
    <n v="10"/>
    <n v="5"/>
    <n v="2"/>
    <n v="10"/>
    <n v="9"/>
    <n v="5"/>
    <n v="8"/>
    <x v="1"/>
    <n v="66654"/>
    <x v="0"/>
    <n v="0"/>
  </r>
  <r>
    <n v="45"/>
    <x v="1"/>
    <s v="Travel_Rarely"/>
    <n v="561"/>
    <x v="0"/>
    <n v="2"/>
    <n v="3"/>
    <s v="Other"/>
    <n v="606"/>
    <n v="4"/>
    <s v="Male"/>
    <n v="61"/>
    <n v="3"/>
    <n v="2"/>
    <x v="0"/>
    <n v="2"/>
    <s v="Married"/>
    <n v="4805"/>
    <n v="16177"/>
    <n v="0"/>
    <s v="No"/>
    <n v="19"/>
    <n v="3"/>
    <n v="2"/>
    <n v="1"/>
    <n v="9"/>
    <n v="3"/>
    <n v="4"/>
    <n v="8"/>
    <n v="7"/>
    <n v="3"/>
    <n v="7"/>
    <x v="1"/>
    <n v="43245"/>
    <x v="0"/>
    <n v="0"/>
  </r>
  <r>
    <n v="26"/>
    <x v="0"/>
    <s v="Travel_Frequently"/>
    <n v="426"/>
    <x v="2"/>
    <n v="17"/>
    <n v="4"/>
    <s v="Life Sciences"/>
    <n v="608"/>
    <n v="2"/>
    <s v="Female"/>
    <n v="58"/>
    <n v="3"/>
    <n v="1"/>
    <x v="8"/>
    <n v="3"/>
    <s v="Divorced"/>
    <n v="2741"/>
    <n v="22808"/>
    <n v="0"/>
    <s v="Yes"/>
    <n v="11"/>
    <n v="3"/>
    <n v="2"/>
    <n v="1"/>
    <n v="8"/>
    <n v="2"/>
    <n v="2"/>
    <n v="7"/>
    <n v="7"/>
    <n v="1"/>
    <n v="0"/>
    <x v="1"/>
    <n v="24669"/>
    <x v="0"/>
    <n v="24669"/>
  </r>
  <r>
    <n v="29"/>
    <x v="1"/>
    <s v="Travel_Rarely"/>
    <n v="232"/>
    <x v="1"/>
    <n v="19"/>
    <n v="3"/>
    <s v="Technical Degree"/>
    <n v="611"/>
    <n v="4"/>
    <s v="Male"/>
    <n v="34"/>
    <n v="3"/>
    <n v="2"/>
    <x v="3"/>
    <n v="4"/>
    <s v="Divorced"/>
    <n v="4262"/>
    <n v="22645"/>
    <n v="4"/>
    <s v="No"/>
    <n v="12"/>
    <n v="3"/>
    <n v="2"/>
    <n v="2"/>
    <n v="8"/>
    <n v="2"/>
    <n v="4"/>
    <n v="3"/>
    <n v="2"/>
    <n v="1"/>
    <n v="2"/>
    <x v="3"/>
    <n v="38358"/>
    <x v="1"/>
    <n v="0"/>
  </r>
  <r>
    <n v="33"/>
    <x v="1"/>
    <s v="Travel_Rarely"/>
    <n v="922"/>
    <x v="1"/>
    <n v="1"/>
    <n v="5"/>
    <s v="Medical"/>
    <n v="612"/>
    <n v="1"/>
    <s v="Female"/>
    <n v="95"/>
    <n v="4"/>
    <n v="4"/>
    <x v="7"/>
    <n v="3"/>
    <s v="Divorced"/>
    <n v="16184"/>
    <n v="22578"/>
    <n v="4"/>
    <s v="No"/>
    <n v="19"/>
    <n v="3"/>
    <n v="3"/>
    <n v="1"/>
    <n v="10"/>
    <n v="2"/>
    <n v="3"/>
    <n v="6"/>
    <n v="1"/>
    <n v="0"/>
    <n v="5"/>
    <x v="0"/>
    <n v="145656"/>
    <x v="1"/>
    <n v="0"/>
  </r>
  <r>
    <n v="31"/>
    <x v="1"/>
    <s v="Travel_Rarely"/>
    <n v="688"/>
    <x v="0"/>
    <n v="7"/>
    <n v="3"/>
    <s v="Life Sciences"/>
    <n v="613"/>
    <n v="3"/>
    <s v="Male"/>
    <n v="44"/>
    <n v="2"/>
    <n v="3"/>
    <x v="5"/>
    <n v="4"/>
    <s v="Divorced"/>
    <n v="11557"/>
    <n v="25291"/>
    <n v="9"/>
    <s v="No"/>
    <n v="21"/>
    <n v="4"/>
    <n v="3"/>
    <n v="1"/>
    <n v="10"/>
    <n v="3"/>
    <n v="2"/>
    <n v="5"/>
    <n v="4"/>
    <n v="0"/>
    <n v="1"/>
    <x v="0"/>
    <n v="104013"/>
    <x v="1"/>
    <n v="0"/>
  </r>
  <r>
    <n v="18"/>
    <x v="0"/>
    <s v="Travel_Frequently"/>
    <n v="1306"/>
    <x v="0"/>
    <n v="5"/>
    <n v="3"/>
    <s v="Marketing"/>
    <n v="614"/>
    <n v="2"/>
    <s v="Male"/>
    <n v="69"/>
    <n v="3"/>
    <n v="1"/>
    <x v="6"/>
    <n v="2"/>
    <s v="Single"/>
    <n v="1878"/>
    <n v="8059"/>
    <n v="1"/>
    <s v="Yes"/>
    <n v="14"/>
    <n v="3"/>
    <n v="4"/>
    <n v="0"/>
    <n v="0"/>
    <n v="3"/>
    <n v="3"/>
    <n v="0"/>
    <n v="0"/>
    <n v="0"/>
    <n v="0"/>
    <x v="2"/>
    <n v="16902"/>
    <x v="2"/>
    <n v="16902"/>
  </r>
  <r>
    <n v="40"/>
    <x v="1"/>
    <s v="Non-Travel"/>
    <n v="1094"/>
    <x v="0"/>
    <n v="28"/>
    <n v="3"/>
    <s v="Other"/>
    <n v="615"/>
    <n v="3"/>
    <s v="Male"/>
    <n v="58"/>
    <n v="1"/>
    <n v="3"/>
    <x v="0"/>
    <n v="1"/>
    <s v="Divorced"/>
    <n v="10932"/>
    <n v="11373"/>
    <n v="3"/>
    <s v="No"/>
    <n v="15"/>
    <n v="3"/>
    <n v="3"/>
    <n v="1"/>
    <n v="20"/>
    <n v="2"/>
    <n v="3"/>
    <n v="1"/>
    <n v="0"/>
    <n v="0"/>
    <n v="1"/>
    <x v="3"/>
    <n v="98388"/>
    <x v="0"/>
    <n v="0"/>
  </r>
  <r>
    <n v="41"/>
    <x v="1"/>
    <s v="Non-Travel"/>
    <n v="509"/>
    <x v="1"/>
    <n v="2"/>
    <n v="4"/>
    <s v="Other"/>
    <n v="616"/>
    <n v="1"/>
    <s v="Female"/>
    <n v="62"/>
    <n v="2"/>
    <n v="2"/>
    <x v="4"/>
    <n v="3"/>
    <s v="Single"/>
    <n v="6811"/>
    <n v="2112"/>
    <n v="2"/>
    <s v="Yes"/>
    <n v="17"/>
    <n v="3"/>
    <n v="1"/>
    <n v="0"/>
    <n v="10"/>
    <n v="3"/>
    <n v="3"/>
    <n v="8"/>
    <n v="7"/>
    <n v="0"/>
    <n v="7"/>
    <x v="1"/>
    <n v="61299"/>
    <x v="0"/>
    <n v="0"/>
  </r>
  <r>
    <n v="26"/>
    <x v="1"/>
    <s v="Travel_Rarely"/>
    <n v="775"/>
    <x v="0"/>
    <n v="29"/>
    <n v="2"/>
    <s v="Medical"/>
    <n v="618"/>
    <n v="1"/>
    <s v="Male"/>
    <n v="45"/>
    <n v="3"/>
    <n v="2"/>
    <x v="0"/>
    <n v="3"/>
    <s v="Divorced"/>
    <n v="4306"/>
    <n v="4267"/>
    <n v="5"/>
    <s v="No"/>
    <n v="12"/>
    <n v="3"/>
    <n v="1"/>
    <n v="2"/>
    <n v="8"/>
    <n v="5"/>
    <n v="3"/>
    <n v="0"/>
    <n v="0"/>
    <n v="0"/>
    <n v="0"/>
    <x v="2"/>
    <n v="38754"/>
    <x v="1"/>
    <n v="0"/>
  </r>
  <r>
    <n v="35"/>
    <x v="1"/>
    <s v="Travel_Rarely"/>
    <n v="195"/>
    <x v="0"/>
    <n v="1"/>
    <n v="3"/>
    <s v="Medical"/>
    <n v="620"/>
    <n v="1"/>
    <s v="Female"/>
    <n v="80"/>
    <n v="3"/>
    <n v="2"/>
    <x v="0"/>
    <n v="3"/>
    <s v="Single"/>
    <n v="4859"/>
    <n v="6698"/>
    <n v="1"/>
    <s v="No"/>
    <n v="16"/>
    <n v="3"/>
    <n v="4"/>
    <n v="0"/>
    <n v="5"/>
    <n v="3"/>
    <n v="3"/>
    <n v="5"/>
    <n v="4"/>
    <n v="0"/>
    <n v="3"/>
    <x v="0"/>
    <n v="43731"/>
    <x v="1"/>
    <n v="0"/>
  </r>
  <r>
    <n v="34"/>
    <x v="1"/>
    <s v="Travel_Rarely"/>
    <n v="258"/>
    <x v="0"/>
    <n v="21"/>
    <n v="4"/>
    <s v="Life Sciences"/>
    <n v="621"/>
    <n v="4"/>
    <s v="Male"/>
    <n v="74"/>
    <n v="4"/>
    <n v="2"/>
    <x v="0"/>
    <n v="4"/>
    <s v="Single"/>
    <n v="5337"/>
    <n v="19921"/>
    <n v="1"/>
    <s v="No"/>
    <n v="12"/>
    <n v="3"/>
    <n v="4"/>
    <n v="0"/>
    <n v="10"/>
    <n v="3"/>
    <n v="3"/>
    <n v="10"/>
    <n v="7"/>
    <n v="5"/>
    <n v="7"/>
    <x v="1"/>
    <n v="48033"/>
    <x v="1"/>
    <n v="0"/>
  </r>
  <r>
    <n v="26"/>
    <x v="0"/>
    <s v="Travel_Rarely"/>
    <n v="471"/>
    <x v="1"/>
    <n v="24"/>
    <n v="3"/>
    <s v="Technical Degree"/>
    <n v="622"/>
    <n v="3"/>
    <s v="Male"/>
    <n v="66"/>
    <n v="1"/>
    <n v="1"/>
    <x v="2"/>
    <n v="4"/>
    <s v="Single"/>
    <n v="2340"/>
    <n v="23213"/>
    <n v="1"/>
    <s v="Yes"/>
    <n v="18"/>
    <n v="3"/>
    <n v="2"/>
    <n v="0"/>
    <n v="1"/>
    <n v="3"/>
    <n v="1"/>
    <n v="1"/>
    <n v="0"/>
    <n v="0"/>
    <n v="0"/>
    <x v="3"/>
    <n v="21060"/>
    <x v="0"/>
    <n v="21060"/>
  </r>
  <r>
    <n v="37"/>
    <x v="1"/>
    <s v="Travel_Rarely"/>
    <n v="799"/>
    <x v="1"/>
    <n v="1"/>
    <n v="3"/>
    <s v="Technical Degree"/>
    <n v="623"/>
    <n v="2"/>
    <s v="Female"/>
    <n v="59"/>
    <n v="3"/>
    <n v="3"/>
    <x v="3"/>
    <n v="4"/>
    <s v="Single"/>
    <n v="7491"/>
    <n v="23848"/>
    <n v="4"/>
    <s v="No"/>
    <n v="17"/>
    <n v="3"/>
    <n v="4"/>
    <n v="0"/>
    <n v="12"/>
    <n v="3"/>
    <n v="4"/>
    <n v="6"/>
    <n v="5"/>
    <n v="1"/>
    <n v="2"/>
    <x v="0"/>
    <n v="67419"/>
    <x v="1"/>
    <n v="0"/>
  </r>
  <r>
    <n v="46"/>
    <x v="1"/>
    <s v="Travel_Frequently"/>
    <n v="1034"/>
    <x v="1"/>
    <n v="18"/>
    <n v="1"/>
    <s v="Medical"/>
    <n v="624"/>
    <n v="1"/>
    <s v="Female"/>
    <n v="86"/>
    <n v="3"/>
    <n v="3"/>
    <x v="4"/>
    <n v="3"/>
    <s v="Married"/>
    <n v="10527"/>
    <n v="8984"/>
    <n v="5"/>
    <s v="No"/>
    <n v="11"/>
    <n v="3"/>
    <n v="4"/>
    <n v="0"/>
    <n v="28"/>
    <n v="3"/>
    <n v="2"/>
    <n v="2"/>
    <n v="2"/>
    <n v="1"/>
    <n v="2"/>
    <x v="3"/>
    <n v="94743"/>
    <x v="1"/>
    <n v="0"/>
  </r>
  <r>
    <n v="41"/>
    <x v="1"/>
    <s v="Travel_Rarely"/>
    <n v="1276"/>
    <x v="0"/>
    <n v="2"/>
    <n v="5"/>
    <s v="Life Sciences"/>
    <n v="625"/>
    <n v="2"/>
    <s v="Female"/>
    <n v="91"/>
    <n v="3"/>
    <n v="4"/>
    <x v="5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  <x v="1"/>
    <n v="149355"/>
    <x v="0"/>
    <n v="0"/>
  </r>
  <r>
    <n v="37"/>
    <x v="1"/>
    <s v="Non-Travel"/>
    <n v="142"/>
    <x v="0"/>
    <n v="9"/>
    <n v="4"/>
    <s v="Medical"/>
    <n v="626"/>
    <n v="1"/>
    <s v="Male"/>
    <n v="69"/>
    <n v="3"/>
    <n v="3"/>
    <x v="0"/>
    <n v="2"/>
    <s v="Divorced"/>
    <n v="8834"/>
    <n v="24666"/>
    <n v="1"/>
    <s v="No"/>
    <n v="13"/>
    <n v="3"/>
    <n v="4"/>
    <n v="1"/>
    <n v="9"/>
    <n v="6"/>
    <n v="3"/>
    <n v="9"/>
    <n v="5"/>
    <n v="7"/>
    <n v="7"/>
    <x v="1"/>
    <n v="79506"/>
    <x v="0"/>
    <n v="0"/>
  </r>
  <r>
    <n v="52"/>
    <x v="1"/>
    <s v="Travel_Rarely"/>
    <n v="956"/>
    <x v="1"/>
    <n v="6"/>
    <n v="2"/>
    <s v="Technical Degree"/>
    <n v="630"/>
    <n v="4"/>
    <s v="Male"/>
    <n v="78"/>
    <n v="3"/>
    <n v="2"/>
    <x v="1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  <x v="1"/>
    <n v="50193"/>
    <x v="0"/>
    <n v="0"/>
  </r>
  <r>
    <n v="32"/>
    <x v="0"/>
    <s v="Non-Travel"/>
    <n v="1474"/>
    <x v="0"/>
    <n v="11"/>
    <n v="4"/>
    <s v="Other"/>
    <n v="631"/>
    <n v="4"/>
    <s v="Male"/>
    <n v="60"/>
    <n v="4"/>
    <n v="2"/>
    <x v="0"/>
    <n v="3"/>
    <s v="Married"/>
    <n v="4707"/>
    <n v="23914"/>
    <n v="8"/>
    <s v="No"/>
    <n v="12"/>
    <n v="3"/>
    <n v="4"/>
    <n v="0"/>
    <n v="6"/>
    <n v="2"/>
    <n v="3"/>
    <n v="4"/>
    <n v="2"/>
    <n v="1"/>
    <n v="2"/>
    <x v="0"/>
    <n v="42363"/>
    <x v="1"/>
    <n v="42363"/>
  </r>
  <r>
    <n v="24"/>
    <x v="1"/>
    <s v="Travel_Frequently"/>
    <n v="535"/>
    <x v="0"/>
    <n v="24"/>
    <n v="3"/>
    <s v="Medical"/>
    <n v="632"/>
    <n v="4"/>
    <s v="Male"/>
    <n v="38"/>
    <n v="3"/>
    <n v="1"/>
    <x v="6"/>
    <n v="4"/>
    <s v="Married"/>
    <n v="2400"/>
    <n v="5530"/>
    <n v="0"/>
    <s v="No"/>
    <n v="13"/>
    <n v="3"/>
    <n v="3"/>
    <n v="2"/>
    <n v="3"/>
    <n v="3"/>
    <n v="3"/>
    <n v="2"/>
    <n v="2"/>
    <n v="2"/>
    <n v="1"/>
    <x v="3"/>
    <n v="21600"/>
    <x v="1"/>
    <n v="0"/>
  </r>
  <r>
    <n v="38"/>
    <x v="1"/>
    <s v="Travel_Rarely"/>
    <n v="1495"/>
    <x v="1"/>
    <n v="10"/>
    <n v="3"/>
    <s v="Medical"/>
    <n v="634"/>
    <n v="3"/>
    <s v="Female"/>
    <n v="76"/>
    <n v="3"/>
    <n v="2"/>
    <x v="4"/>
    <n v="3"/>
    <s v="Married"/>
    <n v="9824"/>
    <n v="22174"/>
    <n v="3"/>
    <s v="No"/>
    <n v="19"/>
    <n v="3"/>
    <n v="3"/>
    <n v="1"/>
    <n v="18"/>
    <n v="4"/>
    <n v="3"/>
    <n v="1"/>
    <n v="0"/>
    <n v="0"/>
    <n v="0"/>
    <x v="3"/>
    <n v="88416"/>
    <x v="1"/>
    <n v="0"/>
  </r>
  <r>
    <n v="37"/>
    <x v="1"/>
    <s v="Travel_Rarely"/>
    <n v="446"/>
    <x v="1"/>
    <n v="1"/>
    <n v="4"/>
    <s v="Life Sciences"/>
    <n v="635"/>
    <n v="2"/>
    <s v="Female"/>
    <n v="65"/>
    <n v="3"/>
    <n v="2"/>
    <x v="3"/>
    <n v="2"/>
    <s v="Married"/>
    <n v="6447"/>
    <n v="15701"/>
    <n v="6"/>
    <s v="No"/>
    <n v="12"/>
    <n v="3"/>
    <n v="2"/>
    <n v="1"/>
    <n v="8"/>
    <n v="2"/>
    <n v="2"/>
    <n v="6"/>
    <n v="5"/>
    <n v="4"/>
    <n v="3"/>
    <x v="0"/>
    <n v="58023"/>
    <x v="0"/>
    <n v="0"/>
  </r>
  <r>
    <n v="49"/>
    <x v="1"/>
    <s v="Travel_Rarely"/>
    <n v="1245"/>
    <x v="1"/>
    <n v="18"/>
    <n v="4"/>
    <s v="Life Sciences"/>
    <n v="638"/>
    <n v="4"/>
    <s v="Male"/>
    <n v="58"/>
    <n v="2"/>
    <n v="5"/>
    <x v="7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  <x v="1"/>
    <n v="175518"/>
    <x v="0"/>
    <n v="0"/>
  </r>
  <r>
    <n v="24"/>
    <x v="1"/>
    <s v="Travel_Rarely"/>
    <n v="691"/>
    <x v="1"/>
    <n v="23"/>
    <n v="3"/>
    <s v="Medical"/>
    <n v="639"/>
    <n v="2"/>
    <s v="Male"/>
    <n v="89"/>
    <n v="4"/>
    <n v="1"/>
    <x v="1"/>
    <n v="4"/>
    <s v="Married"/>
    <n v="2725"/>
    <n v="21630"/>
    <n v="1"/>
    <s v="Yes"/>
    <n v="11"/>
    <n v="3"/>
    <n v="2"/>
    <n v="2"/>
    <n v="6"/>
    <n v="3"/>
    <n v="3"/>
    <n v="6"/>
    <n v="5"/>
    <n v="1"/>
    <n v="4"/>
    <x v="0"/>
    <n v="24525"/>
    <x v="0"/>
    <n v="0"/>
  </r>
  <r>
    <n v="26"/>
    <x v="1"/>
    <s v="Travel_Rarely"/>
    <n v="703"/>
    <x v="0"/>
    <n v="28"/>
    <n v="2"/>
    <s v="Marketing"/>
    <n v="641"/>
    <n v="1"/>
    <s v="Male"/>
    <n v="66"/>
    <n v="3"/>
    <n v="2"/>
    <x v="0"/>
    <n v="2"/>
    <s v="Married"/>
    <n v="6272"/>
    <n v="7428"/>
    <n v="1"/>
    <s v="No"/>
    <n v="20"/>
    <n v="4"/>
    <n v="4"/>
    <n v="2"/>
    <n v="6"/>
    <n v="5"/>
    <n v="4"/>
    <n v="5"/>
    <n v="3"/>
    <n v="1"/>
    <n v="4"/>
    <x v="0"/>
    <n v="56448"/>
    <x v="0"/>
    <n v="0"/>
  </r>
  <r>
    <n v="24"/>
    <x v="1"/>
    <s v="Travel_Rarely"/>
    <n v="823"/>
    <x v="1"/>
    <n v="17"/>
    <n v="2"/>
    <s v="Other"/>
    <n v="643"/>
    <n v="4"/>
    <s v="Male"/>
    <n v="94"/>
    <n v="2"/>
    <n v="1"/>
    <x v="2"/>
    <n v="2"/>
    <s v="Married"/>
    <n v="2127"/>
    <n v="9100"/>
    <n v="1"/>
    <s v="No"/>
    <n v="21"/>
    <n v="4"/>
    <n v="4"/>
    <n v="1"/>
    <n v="1"/>
    <n v="2"/>
    <n v="3"/>
    <n v="1"/>
    <n v="0"/>
    <n v="0"/>
    <n v="0"/>
    <x v="3"/>
    <n v="19143"/>
    <x v="0"/>
    <n v="0"/>
  </r>
  <r>
    <n v="50"/>
    <x v="1"/>
    <s v="Travel_Frequently"/>
    <n v="1246"/>
    <x v="2"/>
    <n v="3"/>
    <n v="3"/>
    <s v="Medical"/>
    <n v="644"/>
    <n v="1"/>
    <s v="Male"/>
    <n v="99"/>
    <n v="3"/>
    <n v="5"/>
    <x v="5"/>
    <n v="2"/>
    <s v="Married"/>
    <n v="18200"/>
    <n v="7999"/>
    <n v="1"/>
    <s v="No"/>
    <n v="11"/>
    <n v="3"/>
    <n v="3"/>
    <n v="1"/>
    <n v="32"/>
    <n v="2"/>
    <n v="3"/>
    <n v="32"/>
    <n v="5"/>
    <n v="10"/>
    <n v="7"/>
    <x v="1"/>
    <n v="163800"/>
    <x v="0"/>
    <n v="0"/>
  </r>
  <r>
    <n v="25"/>
    <x v="1"/>
    <s v="Travel_Rarely"/>
    <n v="622"/>
    <x v="0"/>
    <n v="13"/>
    <n v="1"/>
    <s v="Medical"/>
    <n v="645"/>
    <n v="2"/>
    <s v="Male"/>
    <n v="40"/>
    <n v="3"/>
    <n v="1"/>
    <x v="6"/>
    <n v="3"/>
    <s v="Married"/>
    <n v="2096"/>
    <n v="26376"/>
    <n v="1"/>
    <s v="No"/>
    <n v="11"/>
    <n v="3"/>
    <n v="3"/>
    <n v="0"/>
    <n v="7"/>
    <n v="1"/>
    <n v="3"/>
    <n v="7"/>
    <n v="4"/>
    <n v="0"/>
    <n v="6"/>
    <x v="1"/>
    <n v="18864"/>
    <x v="1"/>
    <n v="0"/>
  </r>
  <r>
    <n v="24"/>
    <x v="0"/>
    <s v="Travel_Frequently"/>
    <n v="1287"/>
    <x v="1"/>
    <n v="7"/>
    <n v="3"/>
    <s v="Life Sciences"/>
    <n v="647"/>
    <n v="1"/>
    <s v="Female"/>
    <n v="55"/>
    <n v="3"/>
    <n v="1"/>
    <x v="2"/>
    <n v="3"/>
    <s v="Married"/>
    <n v="2886"/>
    <n v="14168"/>
    <n v="1"/>
    <s v="Yes"/>
    <n v="16"/>
    <n v="3"/>
    <n v="4"/>
    <n v="1"/>
    <n v="6"/>
    <n v="4"/>
    <n v="3"/>
    <n v="6"/>
    <n v="3"/>
    <n v="1"/>
    <n v="2"/>
    <x v="0"/>
    <n v="25974"/>
    <x v="0"/>
    <n v="25974"/>
  </r>
  <r>
    <n v="30"/>
    <x v="0"/>
    <s v="Travel_Frequently"/>
    <n v="448"/>
    <x v="0"/>
    <n v="12"/>
    <n v="4"/>
    <s v="Life Sciences"/>
    <n v="648"/>
    <n v="2"/>
    <s v="Male"/>
    <n v="74"/>
    <n v="2"/>
    <n v="1"/>
    <x v="6"/>
    <n v="1"/>
    <s v="Married"/>
    <n v="2033"/>
    <n v="14470"/>
    <n v="1"/>
    <s v="No"/>
    <n v="18"/>
    <n v="3"/>
    <n v="3"/>
    <n v="1"/>
    <n v="1"/>
    <n v="2"/>
    <n v="4"/>
    <n v="1"/>
    <n v="0"/>
    <n v="0"/>
    <n v="0"/>
    <x v="3"/>
    <n v="18297"/>
    <x v="0"/>
    <n v="18297"/>
  </r>
  <r>
    <n v="34"/>
    <x v="1"/>
    <s v="Travel_Rarely"/>
    <n v="254"/>
    <x v="1"/>
    <n v="1"/>
    <n v="2"/>
    <s v="Life Sciences"/>
    <n v="649"/>
    <n v="2"/>
    <s v="Male"/>
    <n v="83"/>
    <n v="2"/>
    <n v="1"/>
    <x v="1"/>
    <n v="4"/>
    <s v="Married"/>
    <n v="3622"/>
    <n v="22794"/>
    <n v="1"/>
    <s v="Yes"/>
    <n v="13"/>
    <n v="3"/>
    <n v="4"/>
    <n v="1"/>
    <n v="6"/>
    <n v="3"/>
    <n v="3"/>
    <n v="6"/>
    <n v="5"/>
    <n v="1"/>
    <n v="3"/>
    <x v="0"/>
    <n v="32598"/>
    <x v="0"/>
    <n v="0"/>
  </r>
  <r>
    <n v="31"/>
    <x v="0"/>
    <s v="Travel_Rarely"/>
    <n v="1365"/>
    <x v="0"/>
    <n v="13"/>
    <n v="4"/>
    <s v="Medical"/>
    <n v="650"/>
    <n v="2"/>
    <s v="Male"/>
    <n v="46"/>
    <n v="3"/>
    <n v="2"/>
    <x v="0"/>
    <n v="1"/>
    <s v="Divorced"/>
    <n v="4233"/>
    <n v="11512"/>
    <n v="2"/>
    <s v="No"/>
    <n v="17"/>
    <n v="3"/>
    <n v="3"/>
    <n v="0"/>
    <n v="9"/>
    <n v="2"/>
    <n v="1"/>
    <n v="3"/>
    <n v="1"/>
    <n v="1"/>
    <n v="2"/>
    <x v="3"/>
    <n v="38097"/>
    <x v="0"/>
    <n v="38097"/>
  </r>
  <r>
    <n v="35"/>
    <x v="1"/>
    <s v="Travel_Rarely"/>
    <n v="538"/>
    <x v="1"/>
    <n v="25"/>
    <n v="2"/>
    <s v="Other"/>
    <n v="652"/>
    <n v="1"/>
    <s v="Male"/>
    <n v="54"/>
    <n v="2"/>
    <n v="2"/>
    <x v="2"/>
    <n v="4"/>
    <s v="Single"/>
    <n v="3681"/>
    <n v="14004"/>
    <n v="4"/>
    <s v="No"/>
    <n v="14"/>
    <n v="3"/>
    <n v="4"/>
    <n v="0"/>
    <n v="9"/>
    <n v="3"/>
    <n v="3"/>
    <n v="3"/>
    <n v="2"/>
    <n v="0"/>
    <n v="2"/>
    <x v="3"/>
    <n v="33129"/>
    <x v="1"/>
    <n v="0"/>
  </r>
  <r>
    <n v="31"/>
    <x v="1"/>
    <s v="Travel_Rarely"/>
    <n v="525"/>
    <x v="0"/>
    <n v="6"/>
    <n v="4"/>
    <s v="Medical"/>
    <n v="653"/>
    <n v="1"/>
    <s v="Male"/>
    <n v="66"/>
    <n v="4"/>
    <n v="2"/>
    <x v="0"/>
    <n v="4"/>
    <s v="Divorced"/>
    <n v="5460"/>
    <n v="6219"/>
    <n v="4"/>
    <s v="No"/>
    <n v="22"/>
    <n v="4"/>
    <n v="4"/>
    <n v="2"/>
    <n v="13"/>
    <n v="4"/>
    <n v="4"/>
    <n v="7"/>
    <n v="7"/>
    <n v="5"/>
    <n v="7"/>
    <x v="1"/>
    <n v="49140"/>
    <x v="1"/>
    <n v="0"/>
  </r>
  <r>
    <n v="27"/>
    <x v="1"/>
    <s v="Travel_Rarely"/>
    <n v="798"/>
    <x v="1"/>
    <n v="6"/>
    <n v="4"/>
    <s v="Medical"/>
    <n v="655"/>
    <n v="1"/>
    <s v="Female"/>
    <n v="66"/>
    <n v="2"/>
    <n v="1"/>
    <x v="1"/>
    <n v="3"/>
    <s v="Divorced"/>
    <n v="2187"/>
    <n v="5013"/>
    <n v="0"/>
    <s v="No"/>
    <n v="12"/>
    <n v="3"/>
    <n v="3"/>
    <n v="2"/>
    <n v="6"/>
    <n v="5"/>
    <n v="2"/>
    <n v="5"/>
    <n v="3"/>
    <n v="0"/>
    <n v="3"/>
    <x v="0"/>
    <n v="19683"/>
    <x v="1"/>
    <n v="0"/>
  </r>
  <r>
    <n v="37"/>
    <x v="1"/>
    <s v="Travel_Rarely"/>
    <n v="558"/>
    <x v="0"/>
    <n v="2"/>
    <n v="3"/>
    <s v="Marketing"/>
    <n v="656"/>
    <n v="4"/>
    <s v="Male"/>
    <n v="75"/>
    <n v="3"/>
    <n v="2"/>
    <x v="0"/>
    <n v="3"/>
    <s v="Married"/>
    <n v="9602"/>
    <n v="3010"/>
    <n v="4"/>
    <s v="Yes"/>
    <n v="11"/>
    <n v="3"/>
    <n v="3"/>
    <n v="1"/>
    <n v="17"/>
    <n v="3"/>
    <n v="2"/>
    <n v="3"/>
    <n v="0"/>
    <n v="1"/>
    <n v="0"/>
    <x v="3"/>
    <n v="86418"/>
    <x v="0"/>
    <n v="0"/>
  </r>
  <r>
    <n v="20"/>
    <x v="1"/>
    <s v="Travel_Rarely"/>
    <n v="959"/>
    <x v="1"/>
    <n v="1"/>
    <n v="3"/>
    <s v="Life Sciences"/>
    <n v="657"/>
    <n v="4"/>
    <s v="Female"/>
    <n v="83"/>
    <n v="2"/>
    <n v="1"/>
    <x v="1"/>
    <n v="2"/>
    <s v="Single"/>
    <n v="2836"/>
    <n v="11757"/>
    <n v="1"/>
    <s v="No"/>
    <n v="13"/>
    <n v="3"/>
    <n v="4"/>
    <n v="0"/>
    <n v="1"/>
    <n v="0"/>
    <n v="4"/>
    <n v="1"/>
    <n v="0"/>
    <n v="0"/>
    <n v="0"/>
    <x v="3"/>
    <n v="25524"/>
    <x v="0"/>
    <n v="0"/>
  </r>
  <r>
    <n v="42"/>
    <x v="1"/>
    <s v="Travel_Rarely"/>
    <n v="622"/>
    <x v="1"/>
    <n v="2"/>
    <n v="4"/>
    <s v="Life Sciences"/>
    <n v="659"/>
    <n v="3"/>
    <s v="Female"/>
    <n v="81"/>
    <n v="3"/>
    <n v="2"/>
    <x v="4"/>
    <n v="4"/>
    <s v="Married"/>
    <n v="4089"/>
    <n v="5718"/>
    <n v="1"/>
    <s v="No"/>
    <n v="13"/>
    <n v="3"/>
    <n v="2"/>
    <n v="2"/>
    <n v="10"/>
    <n v="4"/>
    <n v="3"/>
    <n v="10"/>
    <n v="2"/>
    <n v="2"/>
    <n v="2"/>
    <x v="1"/>
    <n v="36801"/>
    <x v="1"/>
    <n v="0"/>
  </r>
  <r>
    <n v="43"/>
    <x v="1"/>
    <s v="Travel_Rarely"/>
    <n v="782"/>
    <x v="1"/>
    <n v="6"/>
    <n v="4"/>
    <s v="Other"/>
    <n v="661"/>
    <n v="2"/>
    <s v="Male"/>
    <n v="50"/>
    <n v="2"/>
    <n v="4"/>
    <x v="7"/>
    <n v="4"/>
    <s v="Divorced"/>
    <n v="16627"/>
    <n v="2671"/>
    <n v="4"/>
    <s v="Yes"/>
    <n v="14"/>
    <n v="3"/>
    <n v="3"/>
    <n v="1"/>
    <n v="21"/>
    <n v="3"/>
    <n v="2"/>
    <n v="1"/>
    <n v="0"/>
    <n v="0"/>
    <n v="0"/>
    <x v="3"/>
    <n v="149643"/>
    <x v="0"/>
    <n v="0"/>
  </r>
  <r>
    <n v="38"/>
    <x v="1"/>
    <s v="Travel_Rarely"/>
    <n v="362"/>
    <x v="1"/>
    <n v="1"/>
    <n v="1"/>
    <s v="Life Sciences"/>
    <n v="662"/>
    <n v="3"/>
    <s v="Female"/>
    <n v="43"/>
    <n v="3"/>
    <n v="1"/>
    <x v="1"/>
    <n v="1"/>
    <s v="Single"/>
    <n v="2619"/>
    <n v="14561"/>
    <n v="3"/>
    <s v="No"/>
    <n v="17"/>
    <n v="3"/>
    <n v="4"/>
    <n v="0"/>
    <n v="8"/>
    <n v="3"/>
    <n v="2"/>
    <n v="0"/>
    <n v="0"/>
    <n v="0"/>
    <n v="0"/>
    <x v="2"/>
    <n v="23571"/>
    <x v="0"/>
    <n v="0"/>
  </r>
  <r>
    <n v="43"/>
    <x v="1"/>
    <s v="Travel_Frequently"/>
    <n v="1001"/>
    <x v="1"/>
    <n v="9"/>
    <n v="5"/>
    <s v="Medical"/>
    <n v="663"/>
    <n v="4"/>
    <s v="Male"/>
    <n v="72"/>
    <n v="3"/>
    <n v="2"/>
    <x v="2"/>
    <n v="3"/>
    <s v="Divorced"/>
    <n v="5679"/>
    <n v="19627"/>
    <n v="3"/>
    <s v="Yes"/>
    <n v="13"/>
    <n v="3"/>
    <n v="2"/>
    <n v="1"/>
    <n v="10"/>
    <n v="3"/>
    <n v="3"/>
    <n v="8"/>
    <n v="7"/>
    <n v="4"/>
    <n v="7"/>
    <x v="1"/>
    <n v="51111"/>
    <x v="0"/>
    <n v="0"/>
  </r>
  <r>
    <n v="48"/>
    <x v="1"/>
    <s v="Travel_Rarely"/>
    <n v="1236"/>
    <x v="1"/>
    <n v="1"/>
    <n v="4"/>
    <s v="Life Sciences"/>
    <n v="664"/>
    <n v="4"/>
    <s v="Female"/>
    <n v="40"/>
    <n v="2"/>
    <n v="4"/>
    <x v="5"/>
    <n v="1"/>
    <s v="Married"/>
    <n v="15402"/>
    <n v="17997"/>
    <n v="7"/>
    <s v="No"/>
    <n v="11"/>
    <n v="3"/>
    <n v="1"/>
    <n v="1"/>
    <n v="21"/>
    <n v="3"/>
    <n v="1"/>
    <n v="3"/>
    <n v="2"/>
    <n v="0"/>
    <n v="2"/>
    <x v="3"/>
    <n v="138618"/>
    <x v="0"/>
    <n v="0"/>
  </r>
  <r>
    <n v="44"/>
    <x v="1"/>
    <s v="Travel_Rarely"/>
    <n v="1112"/>
    <x v="2"/>
    <n v="1"/>
    <n v="4"/>
    <s v="Life Sciences"/>
    <n v="665"/>
    <n v="1"/>
    <s v="Female"/>
    <n v="50"/>
    <n v="2"/>
    <n v="2"/>
    <x v="8"/>
    <n v="3"/>
    <s v="Single"/>
    <n v="5985"/>
    <n v="26894"/>
    <n v="4"/>
    <s v="No"/>
    <n v="11"/>
    <n v="3"/>
    <n v="2"/>
    <n v="0"/>
    <n v="10"/>
    <n v="1"/>
    <n v="4"/>
    <n v="2"/>
    <n v="2"/>
    <n v="0"/>
    <n v="2"/>
    <x v="3"/>
    <n v="53865"/>
    <x v="1"/>
    <n v="0"/>
  </r>
  <r>
    <n v="34"/>
    <x v="1"/>
    <s v="Travel_Rarely"/>
    <n v="204"/>
    <x v="0"/>
    <n v="14"/>
    <n v="3"/>
    <s v="Technical Degree"/>
    <n v="666"/>
    <n v="3"/>
    <s v="Female"/>
    <n v="31"/>
    <n v="3"/>
    <n v="1"/>
    <x v="6"/>
    <n v="3"/>
    <s v="Divorced"/>
    <n v="2579"/>
    <n v="2912"/>
    <n v="1"/>
    <s v="Yes"/>
    <n v="18"/>
    <n v="3"/>
    <n v="4"/>
    <n v="2"/>
    <n v="8"/>
    <n v="3"/>
    <n v="3"/>
    <n v="8"/>
    <n v="2"/>
    <n v="0"/>
    <n v="6"/>
    <x v="1"/>
    <n v="23211"/>
    <x v="0"/>
    <n v="0"/>
  </r>
  <r>
    <n v="27"/>
    <x v="0"/>
    <s v="Travel_Rarely"/>
    <n v="1420"/>
    <x v="0"/>
    <n v="2"/>
    <n v="1"/>
    <s v="Marketing"/>
    <n v="667"/>
    <n v="3"/>
    <s v="Male"/>
    <n v="85"/>
    <n v="3"/>
    <n v="1"/>
    <x v="6"/>
    <n v="1"/>
    <s v="Divorced"/>
    <n v="3041"/>
    <n v="16346"/>
    <n v="0"/>
    <s v="No"/>
    <n v="11"/>
    <n v="3"/>
    <n v="2"/>
    <n v="1"/>
    <n v="5"/>
    <n v="3"/>
    <n v="3"/>
    <n v="4"/>
    <n v="3"/>
    <n v="0"/>
    <n v="2"/>
    <x v="0"/>
    <n v="27369"/>
    <x v="0"/>
    <n v="27369"/>
  </r>
  <r>
    <n v="21"/>
    <x v="1"/>
    <s v="Travel_Rarely"/>
    <n v="1343"/>
    <x v="0"/>
    <n v="22"/>
    <n v="1"/>
    <s v="Technical Degree"/>
    <n v="669"/>
    <n v="3"/>
    <s v="Male"/>
    <n v="49"/>
    <n v="3"/>
    <n v="1"/>
    <x v="6"/>
    <n v="3"/>
    <s v="Single"/>
    <n v="3447"/>
    <n v="24444"/>
    <n v="1"/>
    <s v="No"/>
    <n v="11"/>
    <n v="3"/>
    <n v="3"/>
    <n v="0"/>
    <n v="3"/>
    <n v="2"/>
    <n v="3"/>
    <n v="3"/>
    <n v="2"/>
    <n v="1"/>
    <n v="2"/>
    <x v="3"/>
    <n v="31023"/>
    <x v="1"/>
    <n v="0"/>
  </r>
  <r>
    <n v="44"/>
    <x v="1"/>
    <s v="Travel_Rarely"/>
    <n v="1315"/>
    <x v="1"/>
    <n v="3"/>
    <n v="4"/>
    <s v="Other"/>
    <n v="671"/>
    <n v="4"/>
    <s v="Male"/>
    <n v="35"/>
    <n v="3"/>
    <n v="5"/>
    <x v="5"/>
    <n v="4"/>
    <s v="Married"/>
    <n v="19513"/>
    <n v="9358"/>
    <n v="4"/>
    <s v="Yes"/>
    <n v="12"/>
    <n v="3"/>
    <n v="1"/>
    <n v="1"/>
    <n v="26"/>
    <n v="2"/>
    <n v="4"/>
    <n v="2"/>
    <n v="2"/>
    <n v="0"/>
    <n v="1"/>
    <x v="3"/>
    <n v="175617"/>
    <x v="0"/>
    <n v="0"/>
  </r>
  <r>
    <n v="22"/>
    <x v="1"/>
    <s v="Travel_Rarely"/>
    <n v="604"/>
    <x v="1"/>
    <n v="6"/>
    <n v="1"/>
    <s v="Medical"/>
    <n v="675"/>
    <n v="1"/>
    <s v="Male"/>
    <n v="69"/>
    <n v="3"/>
    <n v="1"/>
    <x v="1"/>
    <n v="3"/>
    <s v="Married"/>
    <n v="2773"/>
    <n v="12145"/>
    <n v="0"/>
    <s v="No"/>
    <n v="20"/>
    <n v="4"/>
    <n v="4"/>
    <n v="0"/>
    <n v="3"/>
    <n v="3"/>
    <n v="3"/>
    <n v="2"/>
    <n v="2"/>
    <n v="2"/>
    <n v="2"/>
    <x v="3"/>
    <n v="24957"/>
    <x v="1"/>
    <n v="0"/>
  </r>
  <r>
    <n v="33"/>
    <x v="1"/>
    <s v="Travel_Rarely"/>
    <n v="1216"/>
    <x v="0"/>
    <n v="8"/>
    <n v="4"/>
    <s v="Marketing"/>
    <n v="677"/>
    <n v="3"/>
    <s v="Male"/>
    <n v="39"/>
    <n v="3"/>
    <n v="2"/>
    <x v="0"/>
    <n v="3"/>
    <s v="Divorced"/>
    <n v="7104"/>
    <n v="20431"/>
    <n v="0"/>
    <s v="No"/>
    <n v="12"/>
    <n v="3"/>
    <n v="4"/>
    <n v="0"/>
    <n v="6"/>
    <n v="3"/>
    <n v="3"/>
    <n v="5"/>
    <n v="0"/>
    <n v="1"/>
    <n v="2"/>
    <x v="0"/>
    <n v="63936"/>
    <x v="1"/>
    <n v="0"/>
  </r>
  <r>
    <n v="32"/>
    <x v="1"/>
    <s v="Travel_Rarely"/>
    <n v="646"/>
    <x v="1"/>
    <n v="9"/>
    <n v="4"/>
    <s v="Life Sciences"/>
    <n v="679"/>
    <n v="1"/>
    <s v="Female"/>
    <n v="92"/>
    <n v="3"/>
    <n v="2"/>
    <x v="1"/>
    <n v="4"/>
    <s v="Married"/>
    <n v="6322"/>
    <n v="18089"/>
    <n v="1"/>
    <s v="Yes"/>
    <n v="12"/>
    <n v="3"/>
    <n v="4"/>
    <n v="1"/>
    <n v="6"/>
    <n v="2"/>
    <n v="2"/>
    <n v="6"/>
    <n v="4"/>
    <n v="0"/>
    <n v="5"/>
    <x v="0"/>
    <n v="56898"/>
    <x v="0"/>
    <n v="0"/>
  </r>
  <r>
    <n v="30"/>
    <x v="1"/>
    <s v="Travel_Frequently"/>
    <n v="160"/>
    <x v="1"/>
    <n v="3"/>
    <n v="3"/>
    <s v="Medical"/>
    <n v="680"/>
    <n v="3"/>
    <s v="Female"/>
    <n v="71"/>
    <n v="3"/>
    <n v="1"/>
    <x v="1"/>
    <n v="3"/>
    <s v="Divorced"/>
    <n v="2083"/>
    <n v="22653"/>
    <n v="1"/>
    <s v="No"/>
    <n v="20"/>
    <n v="4"/>
    <n v="3"/>
    <n v="1"/>
    <n v="1"/>
    <n v="2"/>
    <n v="3"/>
    <n v="1"/>
    <n v="0"/>
    <n v="0"/>
    <n v="0"/>
    <x v="3"/>
    <n v="18747"/>
    <x v="1"/>
    <n v="0"/>
  </r>
  <r>
    <n v="53"/>
    <x v="1"/>
    <s v="Travel_Rarely"/>
    <n v="238"/>
    <x v="0"/>
    <n v="1"/>
    <n v="1"/>
    <s v="Medical"/>
    <n v="682"/>
    <n v="4"/>
    <s v="Female"/>
    <n v="34"/>
    <n v="3"/>
    <n v="2"/>
    <x v="0"/>
    <n v="1"/>
    <s v="Single"/>
    <n v="8381"/>
    <n v="7507"/>
    <n v="7"/>
    <s v="No"/>
    <n v="20"/>
    <n v="4"/>
    <n v="4"/>
    <n v="0"/>
    <n v="18"/>
    <n v="2"/>
    <n v="4"/>
    <n v="14"/>
    <n v="7"/>
    <n v="8"/>
    <n v="10"/>
    <x v="1"/>
    <n v="75429"/>
    <x v="0"/>
    <n v="0"/>
  </r>
  <r>
    <n v="34"/>
    <x v="1"/>
    <s v="Travel_Rarely"/>
    <n v="1397"/>
    <x v="1"/>
    <n v="1"/>
    <n v="5"/>
    <s v="Life Sciences"/>
    <n v="683"/>
    <n v="2"/>
    <s v="Male"/>
    <n v="42"/>
    <n v="3"/>
    <n v="1"/>
    <x v="1"/>
    <n v="4"/>
    <s v="Married"/>
    <n v="2691"/>
    <n v="7660"/>
    <n v="1"/>
    <s v="No"/>
    <n v="12"/>
    <n v="3"/>
    <n v="4"/>
    <n v="1"/>
    <n v="10"/>
    <n v="4"/>
    <n v="2"/>
    <n v="10"/>
    <n v="9"/>
    <n v="8"/>
    <n v="8"/>
    <x v="1"/>
    <n v="24219"/>
    <x v="1"/>
    <n v="0"/>
  </r>
  <r>
    <n v="45"/>
    <x v="0"/>
    <s v="Travel_Frequently"/>
    <n v="306"/>
    <x v="0"/>
    <n v="26"/>
    <n v="4"/>
    <s v="Life Sciences"/>
    <n v="684"/>
    <n v="1"/>
    <s v="Female"/>
    <n v="100"/>
    <n v="3"/>
    <n v="2"/>
    <x v="0"/>
    <n v="1"/>
    <s v="Married"/>
    <n v="4286"/>
    <n v="5630"/>
    <n v="2"/>
    <s v="No"/>
    <n v="14"/>
    <n v="3"/>
    <n v="4"/>
    <n v="2"/>
    <n v="5"/>
    <n v="4"/>
    <n v="3"/>
    <n v="1"/>
    <n v="1"/>
    <n v="0"/>
    <n v="0"/>
    <x v="3"/>
    <n v="38574"/>
    <x v="0"/>
    <n v="38574"/>
  </r>
  <r>
    <n v="26"/>
    <x v="1"/>
    <s v="Travel_Rarely"/>
    <n v="991"/>
    <x v="1"/>
    <n v="6"/>
    <n v="3"/>
    <s v="Life Sciences"/>
    <n v="686"/>
    <n v="3"/>
    <s v="Female"/>
    <n v="71"/>
    <n v="3"/>
    <n v="1"/>
    <x v="2"/>
    <n v="4"/>
    <s v="Married"/>
    <n v="2659"/>
    <n v="17759"/>
    <n v="1"/>
    <s v="Yes"/>
    <n v="13"/>
    <n v="3"/>
    <n v="3"/>
    <n v="1"/>
    <n v="3"/>
    <n v="2"/>
    <n v="3"/>
    <n v="3"/>
    <n v="2"/>
    <n v="0"/>
    <n v="2"/>
    <x v="3"/>
    <n v="23931"/>
    <x v="0"/>
    <n v="0"/>
  </r>
  <r>
    <n v="37"/>
    <x v="1"/>
    <s v="Travel_Rarely"/>
    <n v="482"/>
    <x v="1"/>
    <n v="3"/>
    <n v="3"/>
    <s v="Other"/>
    <n v="689"/>
    <n v="3"/>
    <s v="Male"/>
    <n v="36"/>
    <n v="3"/>
    <n v="3"/>
    <x v="3"/>
    <n v="3"/>
    <s v="Married"/>
    <n v="9434"/>
    <n v="9606"/>
    <n v="1"/>
    <s v="No"/>
    <n v="15"/>
    <n v="3"/>
    <n v="3"/>
    <n v="1"/>
    <n v="10"/>
    <n v="2"/>
    <n v="3"/>
    <n v="10"/>
    <n v="7"/>
    <n v="7"/>
    <n v="8"/>
    <x v="1"/>
    <n v="84906"/>
    <x v="1"/>
    <n v="0"/>
  </r>
  <r>
    <n v="29"/>
    <x v="1"/>
    <s v="Travel_Rarely"/>
    <n v="1176"/>
    <x v="0"/>
    <n v="3"/>
    <n v="2"/>
    <s v="Medical"/>
    <n v="690"/>
    <n v="2"/>
    <s v="Female"/>
    <n v="62"/>
    <n v="3"/>
    <n v="2"/>
    <x v="0"/>
    <n v="3"/>
    <s v="Married"/>
    <n v="5561"/>
    <n v="3487"/>
    <n v="1"/>
    <s v="No"/>
    <n v="14"/>
    <n v="3"/>
    <n v="1"/>
    <n v="1"/>
    <n v="6"/>
    <n v="5"/>
    <n v="2"/>
    <n v="6"/>
    <n v="0"/>
    <n v="1"/>
    <n v="2"/>
    <x v="0"/>
    <n v="50049"/>
    <x v="1"/>
    <n v="0"/>
  </r>
  <r>
    <n v="35"/>
    <x v="1"/>
    <s v="Travel_Rarely"/>
    <n v="1017"/>
    <x v="1"/>
    <n v="6"/>
    <n v="4"/>
    <s v="Life Sciences"/>
    <n v="691"/>
    <n v="2"/>
    <s v="Male"/>
    <n v="82"/>
    <n v="1"/>
    <n v="2"/>
    <x v="1"/>
    <n v="4"/>
    <s v="Single"/>
    <n v="6646"/>
    <n v="19368"/>
    <n v="1"/>
    <s v="No"/>
    <n v="13"/>
    <n v="3"/>
    <n v="2"/>
    <n v="0"/>
    <n v="17"/>
    <n v="3"/>
    <n v="3"/>
    <n v="17"/>
    <n v="11"/>
    <n v="11"/>
    <n v="8"/>
    <x v="1"/>
    <n v="59814"/>
    <x v="1"/>
    <n v="0"/>
  </r>
  <r>
    <n v="33"/>
    <x v="1"/>
    <s v="Travel_Frequently"/>
    <n v="1296"/>
    <x v="1"/>
    <n v="6"/>
    <n v="3"/>
    <s v="Life Sciences"/>
    <n v="692"/>
    <n v="3"/>
    <s v="Male"/>
    <n v="30"/>
    <n v="3"/>
    <n v="2"/>
    <x v="4"/>
    <n v="4"/>
    <s v="Divorced"/>
    <n v="7725"/>
    <n v="5335"/>
    <n v="3"/>
    <s v="No"/>
    <n v="23"/>
    <n v="4"/>
    <n v="3"/>
    <n v="1"/>
    <n v="15"/>
    <n v="2"/>
    <n v="1"/>
    <n v="13"/>
    <n v="11"/>
    <n v="4"/>
    <n v="7"/>
    <x v="1"/>
    <n v="69525"/>
    <x v="1"/>
    <n v="0"/>
  </r>
  <r>
    <n v="54"/>
    <x v="1"/>
    <s v="Travel_Rarely"/>
    <n v="397"/>
    <x v="2"/>
    <n v="19"/>
    <n v="4"/>
    <s v="Medical"/>
    <n v="698"/>
    <n v="3"/>
    <s v="Male"/>
    <n v="88"/>
    <n v="3"/>
    <n v="3"/>
    <x v="8"/>
    <n v="2"/>
    <s v="Married"/>
    <n v="10725"/>
    <n v="6729"/>
    <n v="2"/>
    <s v="No"/>
    <n v="15"/>
    <n v="3"/>
    <n v="3"/>
    <n v="1"/>
    <n v="16"/>
    <n v="1"/>
    <n v="4"/>
    <n v="9"/>
    <n v="7"/>
    <n v="7"/>
    <n v="1"/>
    <x v="1"/>
    <n v="96525"/>
    <x v="0"/>
    <n v="0"/>
  </r>
  <r>
    <n v="36"/>
    <x v="1"/>
    <s v="Travel_Rarely"/>
    <n v="913"/>
    <x v="1"/>
    <n v="9"/>
    <n v="2"/>
    <s v="Medical"/>
    <n v="699"/>
    <n v="2"/>
    <s v="Male"/>
    <n v="48"/>
    <n v="2"/>
    <n v="2"/>
    <x v="3"/>
    <n v="2"/>
    <s v="Divorced"/>
    <n v="8847"/>
    <n v="13934"/>
    <n v="2"/>
    <s v="Yes"/>
    <n v="11"/>
    <n v="3"/>
    <n v="3"/>
    <n v="1"/>
    <n v="13"/>
    <n v="2"/>
    <n v="3"/>
    <n v="3"/>
    <n v="2"/>
    <n v="0"/>
    <n v="2"/>
    <x v="3"/>
    <n v="79623"/>
    <x v="2"/>
    <n v="0"/>
  </r>
  <r>
    <n v="27"/>
    <x v="1"/>
    <s v="Travel_Rarely"/>
    <n v="1115"/>
    <x v="1"/>
    <n v="3"/>
    <n v="4"/>
    <s v="Medical"/>
    <n v="700"/>
    <n v="1"/>
    <s v="Male"/>
    <n v="54"/>
    <n v="2"/>
    <n v="1"/>
    <x v="1"/>
    <n v="4"/>
    <s v="Single"/>
    <n v="2045"/>
    <n v="15174"/>
    <n v="0"/>
    <s v="No"/>
    <n v="13"/>
    <n v="3"/>
    <n v="4"/>
    <n v="0"/>
    <n v="5"/>
    <n v="0"/>
    <n v="3"/>
    <n v="4"/>
    <n v="2"/>
    <n v="1"/>
    <n v="1"/>
    <x v="0"/>
    <n v="18405"/>
    <x v="1"/>
    <n v="0"/>
  </r>
  <r>
    <n v="20"/>
    <x v="0"/>
    <s v="Travel_Rarely"/>
    <n v="1362"/>
    <x v="1"/>
    <n v="10"/>
    <n v="1"/>
    <s v="Medical"/>
    <n v="701"/>
    <n v="4"/>
    <s v="Male"/>
    <n v="32"/>
    <n v="3"/>
    <n v="1"/>
    <x v="1"/>
    <n v="3"/>
    <s v="Single"/>
    <n v="1009"/>
    <n v="26999"/>
    <n v="1"/>
    <s v="Yes"/>
    <n v="11"/>
    <n v="3"/>
    <n v="4"/>
    <n v="0"/>
    <n v="1"/>
    <n v="5"/>
    <n v="3"/>
    <n v="1"/>
    <n v="0"/>
    <n v="1"/>
    <n v="1"/>
    <x v="3"/>
    <n v="9081"/>
    <x v="0"/>
    <n v="9081"/>
  </r>
  <r>
    <n v="33"/>
    <x v="0"/>
    <s v="Travel_Frequently"/>
    <n v="1076"/>
    <x v="1"/>
    <n v="3"/>
    <n v="3"/>
    <s v="Life Sciences"/>
    <n v="702"/>
    <n v="1"/>
    <s v="Male"/>
    <n v="70"/>
    <n v="3"/>
    <n v="1"/>
    <x v="1"/>
    <n v="1"/>
    <s v="Single"/>
    <n v="3348"/>
    <n v="3164"/>
    <n v="1"/>
    <s v="Yes"/>
    <n v="11"/>
    <n v="3"/>
    <n v="1"/>
    <n v="0"/>
    <n v="10"/>
    <n v="3"/>
    <n v="3"/>
    <n v="10"/>
    <n v="8"/>
    <n v="9"/>
    <n v="7"/>
    <x v="1"/>
    <n v="30132"/>
    <x v="0"/>
    <n v="30132"/>
  </r>
  <r>
    <n v="35"/>
    <x v="1"/>
    <s v="Non-Travel"/>
    <n v="727"/>
    <x v="1"/>
    <n v="3"/>
    <n v="3"/>
    <s v="Life Sciences"/>
    <n v="704"/>
    <n v="3"/>
    <s v="Male"/>
    <n v="41"/>
    <n v="2"/>
    <n v="1"/>
    <x v="2"/>
    <n v="3"/>
    <s v="Married"/>
    <n v="1281"/>
    <n v="16900"/>
    <n v="1"/>
    <s v="No"/>
    <n v="18"/>
    <n v="3"/>
    <n v="3"/>
    <n v="2"/>
    <n v="1"/>
    <n v="3"/>
    <n v="3"/>
    <n v="1"/>
    <n v="0"/>
    <n v="0"/>
    <n v="0"/>
    <x v="3"/>
    <n v="11529"/>
    <x v="1"/>
    <n v="0"/>
  </r>
  <r>
    <n v="23"/>
    <x v="1"/>
    <s v="Travel_Rarely"/>
    <n v="885"/>
    <x v="1"/>
    <n v="4"/>
    <n v="3"/>
    <s v="Medical"/>
    <n v="705"/>
    <n v="1"/>
    <s v="Male"/>
    <n v="58"/>
    <n v="4"/>
    <n v="1"/>
    <x v="1"/>
    <n v="1"/>
    <s v="Married"/>
    <n v="2819"/>
    <n v="8544"/>
    <n v="2"/>
    <s v="No"/>
    <n v="16"/>
    <n v="3"/>
    <n v="1"/>
    <n v="1"/>
    <n v="5"/>
    <n v="3"/>
    <n v="4"/>
    <n v="3"/>
    <n v="2"/>
    <n v="0"/>
    <n v="2"/>
    <x v="3"/>
    <n v="25371"/>
    <x v="0"/>
    <n v="0"/>
  </r>
  <r>
    <n v="25"/>
    <x v="1"/>
    <s v="Travel_Rarely"/>
    <n v="810"/>
    <x v="0"/>
    <n v="8"/>
    <n v="3"/>
    <s v="Life Sciences"/>
    <n v="707"/>
    <n v="4"/>
    <s v="Male"/>
    <n v="57"/>
    <n v="4"/>
    <n v="2"/>
    <x v="0"/>
    <n v="2"/>
    <s v="Married"/>
    <n v="4851"/>
    <n v="15678"/>
    <n v="0"/>
    <s v="No"/>
    <n v="22"/>
    <n v="4"/>
    <n v="3"/>
    <n v="1"/>
    <n v="4"/>
    <n v="4"/>
    <n v="3"/>
    <n v="3"/>
    <n v="2"/>
    <n v="1"/>
    <n v="2"/>
    <x v="3"/>
    <n v="43659"/>
    <x v="0"/>
    <n v="0"/>
  </r>
  <r>
    <n v="38"/>
    <x v="1"/>
    <s v="Travel_Rarely"/>
    <n v="243"/>
    <x v="0"/>
    <n v="7"/>
    <n v="4"/>
    <s v="Marketing"/>
    <n v="709"/>
    <n v="4"/>
    <s v="Female"/>
    <n v="46"/>
    <n v="2"/>
    <n v="2"/>
    <x v="0"/>
    <n v="4"/>
    <s v="Single"/>
    <n v="4028"/>
    <n v="7791"/>
    <n v="0"/>
    <s v="No"/>
    <n v="20"/>
    <n v="4"/>
    <n v="1"/>
    <n v="0"/>
    <n v="8"/>
    <n v="2"/>
    <n v="3"/>
    <n v="7"/>
    <n v="7"/>
    <n v="0"/>
    <n v="5"/>
    <x v="1"/>
    <n v="36252"/>
    <x v="1"/>
    <n v="0"/>
  </r>
  <r>
    <n v="29"/>
    <x v="1"/>
    <s v="Travel_Frequently"/>
    <n v="806"/>
    <x v="1"/>
    <n v="1"/>
    <n v="4"/>
    <s v="Life Sciences"/>
    <n v="710"/>
    <n v="2"/>
    <s v="Male"/>
    <n v="76"/>
    <n v="1"/>
    <n v="1"/>
    <x v="1"/>
    <n v="4"/>
    <s v="Divorced"/>
    <n v="2720"/>
    <n v="18959"/>
    <n v="1"/>
    <s v="No"/>
    <n v="18"/>
    <n v="3"/>
    <n v="4"/>
    <n v="1"/>
    <n v="10"/>
    <n v="5"/>
    <n v="3"/>
    <n v="10"/>
    <n v="7"/>
    <n v="2"/>
    <n v="8"/>
    <x v="1"/>
    <n v="24480"/>
    <x v="1"/>
    <n v="0"/>
  </r>
  <r>
    <n v="48"/>
    <x v="1"/>
    <s v="Travel_Rarely"/>
    <n v="817"/>
    <x v="0"/>
    <n v="2"/>
    <n v="1"/>
    <s v="Marketing"/>
    <n v="712"/>
    <n v="2"/>
    <s v="Male"/>
    <n v="56"/>
    <n v="4"/>
    <n v="2"/>
    <x v="0"/>
    <n v="2"/>
    <s v="Married"/>
    <n v="8120"/>
    <n v="18597"/>
    <n v="3"/>
    <s v="No"/>
    <n v="12"/>
    <n v="3"/>
    <n v="4"/>
    <n v="0"/>
    <n v="12"/>
    <n v="3"/>
    <n v="3"/>
    <n v="2"/>
    <n v="2"/>
    <n v="2"/>
    <n v="2"/>
    <x v="3"/>
    <n v="73080"/>
    <x v="0"/>
    <n v="0"/>
  </r>
  <r>
    <n v="27"/>
    <x v="1"/>
    <s v="Travel_Frequently"/>
    <n v="1410"/>
    <x v="0"/>
    <n v="3"/>
    <n v="1"/>
    <s v="Medical"/>
    <n v="714"/>
    <n v="4"/>
    <s v="Female"/>
    <n v="71"/>
    <n v="4"/>
    <n v="2"/>
    <x v="0"/>
    <n v="4"/>
    <s v="Divorced"/>
    <n v="4647"/>
    <n v="16673"/>
    <n v="1"/>
    <s v="Yes"/>
    <n v="20"/>
    <n v="4"/>
    <n v="2"/>
    <n v="2"/>
    <n v="6"/>
    <n v="3"/>
    <n v="3"/>
    <n v="6"/>
    <n v="5"/>
    <n v="0"/>
    <n v="4"/>
    <x v="0"/>
    <n v="41823"/>
    <x v="0"/>
    <n v="0"/>
  </r>
  <r>
    <n v="37"/>
    <x v="1"/>
    <s v="Travel_Rarely"/>
    <n v="1225"/>
    <x v="1"/>
    <n v="10"/>
    <n v="2"/>
    <s v="Life Sciences"/>
    <n v="715"/>
    <n v="4"/>
    <s v="Male"/>
    <n v="80"/>
    <n v="4"/>
    <n v="1"/>
    <x v="1"/>
    <n v="4"/>
    <s v="Single"/>
    <n v="4680"/>
    <n v="15232"/>
    <n v="3"/>
    <s v="No"/>
    <n v="17"/>
    <n v="3"/>
    <n v="1"/>
    <n v="0"/>
    <n v="4"/>
    <n v="2"/>
    <n v="3"/>
    <n v="1"/>
    <n v="0"/>
    <n v="0"/>
    <n v="0"/>
    <x v="3"/>
    <n v="42120"/>
    <x v="1"/>
    <n v="0"/>
  </r>
  <r>
    <n v="50"/>
    <x v="1"/>
    <s v="Travel_Rarely"/>
    <n v="1207"/>
    <x v="1"/>
    <n v="28"/>
    <n v="1"/>
    <s v="Medical"/>
    <n v="716"/>
    <n v="4"/>
    <s v="Male"/>
    <n v="74"/>
    <n v="4"/>
    <n v="1"/>
    <x v="2"/>
    <n v="3"/>
    <s v="Married"/>
    <n v="3221"/>
    <n v="3297"/>
    <n v="1"/>
    <s v="Yes"/>
    <n v="11"/>
    <n v="3"/>
    <n v="3"/>
    <n v="3"/>
    <n v="20"/>
    <n v="3"/>
    <n v="3"/>
    <n v="20"/>
    <n v="8"/>
    <n v="3"/>
    <n v="8"/>
    <x v="1"/>
    <n v="28989"/>
    <x v="0"/>
    <n v="0"/>
  </r>
  <r>
    <n v="34"/>
    <x v="1"/>
    <s v="Travel_Rarely"/>
    <n v="1442"/>
    <x v="1"/>
    <n v="9"/>
    <n v="3"/>
    <s v="Medical"/>
    <n v="717"/>
    <n v="4"/>
    <s v="Female"/>
    <n v="46"/>
    <n v="2"/>
    <n v="3"/>
    <x v="4"/>
    <n v="2"/>
    <s v="Single"/>
    <n v="8621"/>
    <n v="17654"/>
    <n v="1"/>
    <s v="No"/>
    <n v="14"/>
    <n v="3"/>
    <n v="2"/>
    <n v="0"/>
    <n v="9"/>
    <n v="3"/>
    <n v="4"/>
    <n v="8"/>
    <n v="7"/>
    <n v="7"/>
    <n v="7"/>
    <x v="1"/>
    <n v="77589"/>
    <x v="0"/>
    <n v="0"/>
  </r>
  <r>
    <n v="24"/>
    <x v="0"/>
    <s v="Travel_Rarely"/>
    <n v="693"/>
    <x v="0"/>
    <n v="3"/>
    <n v="2"/>
    <s v="Life Sciences"/>
    <n v="720"/>
    <n v="1"/>
    <s v="Female"/>
    <n v="65"/>
    <n v="3"/>
    <n v="2"/>
    <x v="0"/>
    <n v="3"/>
    <s v="Single"/>
    <n v="4577"/>
    <n v="24785"/>
    <n v="9"/>
    <s v="No"/>
    <n v="14"/>
    <n v="3"/>
    <n v="1"/>
    <n v="0"/>
    <n v="4"/>
    <n v="3"/>
    <n v="3"/>
    <n v="2"/>
    <n v="2"/>
    <n v="2"/>
    <n v="0"/>
    <x v="3"/>
    <n v="41193"/>
    <x v="1"/>
    <n v="41193"/>
  </r>
  <r>
    <n v="39"/>
    <x v="1"/>
    <s v="Travel_Rarely"/>
    <n v="408"/>
    <x v="1"/>
    <n v="2"/>
    <n v="4"/>
    <s v="Technical Degree"/>
    <n v="721"/>
    <n v="4"/>
    <s v="Female"/>
    <n v="80"/>
    <n v="2"/>
    <n v="2"/>
    <x v="4"/>
    <n v="3"/>
    <s v="Single"/>
    <n v="4553"/>
    <n v="20978"/>
    <n v="1"/>
    <s v="No"/>
    <n v="11"/>
    <n v="3"/>
    <n v="1"/>
    <n v="0"/>
    <n v="20"/>
    <n v="4"/>
    <n v="3"/>
    <n v="20"/>
    <n v="7"/>
    <n v="11"/>
    <n v="10"/>
    <x v="1"/>
    <n v="40977"/>
    <x v="1"/>
    <n v="0"/>
  </r>
  <r>
    <n v="32"/>
    <x v="1"/>
    <s v="Travel_Rarely"/>
    <n v="929"/>
    <x v="0"/>
    <n v="10"/>
    <n v="3"/>
    <s v="Marketing"/>
    <n v="722"/>
    <n v="4"/>
    <s v="Male"/>
    <n v="55"/>
    <n v="3"/>
    <n v="2"/>
    <x v="0"/>
    <n v="4"/>
    <s v="Single"/>
    <n v="5396"/>
    <n v="21703"/>
    <n v="1"/>
    <s v="No"/>
    <n v="12"/>
    <n v="3"/>
    <n v="4"/>
    <n v="0"/>
    <n v="10"/>
    <n v="2"/>
    <n v="2"/>
    <n v="10"/>
    <n v="7"/>
    <n v="0"/>
    <n v="8"/>
    <x v="1"/>
    <n v="48564"/>
    <x v="1"/>
    <n v="0"/>
  </r>
  <r>
    <n v="50"/>
    <x v="0"/>
    <s v="Travel_Frequently"/>
    <n v="562"/>
    <x v="0"/>
    <n v="8"/>
    <n v="2"/>
    <s v="Technical Degree"/>
    <n v="723"/>
    <n v="2"/>
    <s v="Male"/>
    <n v="50"/>
    <n v="3"/>
    <n v="2"/>
    <x v="0"/>
    <n v="3"/>
    <s v="Married"/>
    <n v="6796"/>
    <n v="23452"/>
    <n v="3"/>
    <s v="Yes"/>
    <n v="14"/>
    <n v="3"/>
    <n v="1"/>
    <n v="1"/>
    <n v="18"/>
    <n v="4"/>
    <n v="3"/>
    <n v="4"/>
    <n v="3"/>
    <n v="1"/>
    <n v="3"/>
    <x v="0"/>
    <n v="61164"/>
    <x v="0"/>
    <n v="61164"/>
  </r>
  <r>
    <n v="38"/>
    <x v="1"/>
    <s v="Travel_Rarely"/>
    <n v="827"/>
    <x v="1"/>
    <n v="1"/>
    <n v="4"/>
    <s v="Life Sciences"/>
    <n v="724"/>
    <n v="2"/>
    <s v="Female"/>
    <n v="33"/>
    <n v="4"/>
    <n v="2"/>
    <x v="4"/>
    <n v="4"/>
    <s v="Single"/>
    <n v="7625"/>
    <n v="19383"/>
    <n v="0"/>
    <s v="No"/>
    <n v="13"/>
    <n v="3"/>
    <n v="3"/>
    <n v="0"/>
    <n v="10"/>
    <n v="4"/>
    <n v="2"/>
    <n v="9"/>
    <n v="7"/>
    <n v="1"/>
    <n v="8"/>
    <x v="1"/>
    <n v="68625"/>
    <x v="1"/>
    <n v="0"/>
  </r>
  <r>
    <n v="27"/>
    <x v="1"/>
    <s v="Travel_Rarely"/>
    <n v="608"/>
    <x v="1"/>
    <n v="1"/>
    <n v="2"/>
    <s v="Life Sciences"/>
    <n v="725"/>
    <n v="3"/>
    <s v="Female"/>
    <n v="68"/>
    <n v="3"/>
    <n v="3"/>
    <x v="3"/>
    <n v="1"/>
    <s v="Married"/>
    <n v="7412"/>
    <n v="6009"/>
    <n v="1"/>
    <s v="No"/>
    <n v="11"/>
    <n v="3"/>
    <n v="4"/>
    <n v="0"/>
    <n v="9"/>
    <n v="3"/>
    <n v="3"/>
    <n v="9"/>
    <n v="7"/>
    <n v="0"/>
    <n v="7"/>
    <x v="1"/>
    <n v="66708"/>
    <x v="0"/>
    <n v="0"/>
  </r>
  <r>
    <n v="32"/>
    <x v="1"/>
    <s v="Travel_Rarely"/>
    <n v="1018"/>
    <x v="1"/>
    <n v="3"/>
    <n v="2"/>
    <s v="Life Sciences"/>
    <n v="727"/>
    <n v="3"/>
    <s v="Female"/>
    <n v="39"/>
    <n v="3"/>
    <n v="3"/>
    <x v="7"/>
    <n v="4"/>
    <s v="Single"/>
    <n v="11159"/>
    <n v="19373"/>
    <n v="3"/>
    <s v="No"/>
    <n v="15"/>
    <n v="3"/>
    <n v="4"/>
    <n v="0"/>
    <n v="10"/>
    <n v="6"/>
    <n v="3"/>
    <n v="7"/>
    <n v="7"/>
    <n v="7"/>
    <n v="7"/>
    <x v="1"/>
    <n v="100431"/>
    <x v="1"/>
    <n v="0"/>
  </r>
  <r>
    <n v="47"/>
    <x v="1"/>
    <s v="Travel_Rarely"/>
    <n v="703"/>
    <x v="0"/>
    <n v="14"/>
    <n v="4"/>
    <s v="Marketing"/>
    <n v="728"/>
    <n v="4"/>
    <s v="Male"/>
    <n v="42"/>
    <n v="3"/>
    <n v="2"/>
    <x v="0"/>
    <n v="1"/>
    <s v="Single"/>
    <n v="4960"/>
    <n v="11825"/>
    <n v="2"/>
    <s v="No"/>
    <n v="12"/>
    <n v="3"/>
    <n v="4"/>
    <n v="0"/>
    <n v="20"/>
    <n v="2"/>
    <n v="3"/>
    <n v="7"/>
    <n v="7"/>
    <n v="1"/>
    <n v="7"/>
    <x v="1"/>
    <n v="44640"/>
    <x v="0"/>
    <n v="0"/>
  </r>
  <r>
    <n v="40"/>
    <x v="1"/>
    <s v="Travel_Frequently"/>
    <n v="580"/>
    <x v="0"/>
    <n v="5"/>
    <n v="4"/>
    <s v="Life Sciences"/>
    <n v="729"/>
    <n v="4"/>
    <s v="Male"/>
    <n v="48"/>
    <n v="2"/>
    <n v="3"/>
    <x v="0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  <x v="1"/>
    <n v="94275"/>
    <x v="0"/>
    <n v="0"/>
  </r>
  <r>
    <n v="53"/>
    <x v="1"/>
    <s v="Travel_Rarely"/>
    <n v="970"/>
    <x v="1"/>
    <n v="7"/>
    <n v="3"/>
    <s v="Life Sciences"/>
    <n v="730"/>
    <n v="3"/>
    <s v="Male"/>
    <n v="59"/>
    <n v="4"/>
    <n v="4"/>
    <x v="7"/>
    <n v="3"/>
    <s v="Married"/>
    <n v="14814"/>
    <n v="13514"/>
    <n v="3"/>
    <s v="No"/>
    <n v="19"/>
    <n v="3"/>
    <n v="3"/>
    <n v="0"/>
    <n v="32"/>
    <n v="3"/>
    <n v="3"/>
    <n v="5"/>
    <n v="1"/>
    <n v="1"/>
    <n v="3"/>
    <x v="0"/>
    <n v="133326"/>
    <x v="1"/>
    <n v="0"/>
  </r>
  <r>
    <n v="41"/>
    <x v="1"/>
    <s v="Travel_Rarely"/>
    <n v="427"/>
    <x v="2"/>
    <n v="10"/>
    <n v="4"/>
    <s v="Human Resources"/>
    <n v="731"/>
    <n v="2"/>
    <s v="Male"/>
    <n v="73"/>
    <n v="2"/>
    <n v="5"/>
    <x v="5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  <x v="1"/>
    <n v="172269"/>
    <x v="1"/>
    <n v="0"/>
  </r>
  <r>
    <n v="60"/>
    <x v="1"/>
    <s v="Travel_Rarely"/>
    <n v="1179"/>
    <x v="0"/>
    <n v="16"/>
    <n v="4"/>
    <s v="Marketing"/>
    <n v="732"/>
    <n v="1"/>
    <s v="Male"/>
    <n v="84"/>
    <n v="3"/>
    <n v="2"/>
    <x v="0"/>
    <n v="1"/>
    <s v="Single"/>
    <n v="5405"/>
    <n v="11924"/>
    <n v="8"/>
    <s v="No"/>
    <n v="14"/>
    <n v="3"/>
    <n v="4"/>
    <n v="0"/>
    <n v="10"/>
    <n v="1"/>
    <n v="3"/>
    <n v="2"/>
    <n v="2"/>
    <n v="2"/>
    <n v="2"/>
    <x v="3"/>
    <n v="48645"/>
    <x v="0"/>
    <n v="0"/>
  </r>
  <r>
    <n v="27"/>
    <x v="1"/>
    <s v="Travel_Frequently"/>
    <n v="294"/>
    <x v="1"/>
    <n v="10"/>
    <n v="2"/>
    <s v="Life Sciences"/>
    <n v="733"/>
    <n v="4"/>
    <s v="Male"/>
    <n v="32"/>
    <n v="3"/>
    <n v="3"/>
    <x v="3"/>
    <n v="1"/>
    <s v="Divorced"/>
    <n v="8793"/>
    <n v="4809"/>
    <n v="1"/>
    <s v="No"/>
    <n v="21"/>
    <n v="4"/>
    <n v="3"/>
    <n v="2"/>
    <n v="9"/>
    <n v="4"/>
    <n v="2"/>
    <n v="9"/>
    <n v="7"/>
    <n v="1"/>
    <n v="7"/>
    <x v="1"/>
    <n v="79137"/>
    <x v="0"/>
    <n v="0"/>
  </r>
  <r>
    <n v="41"/>
    <x v="1"/>
    <s v="Travel_Rarely"/>
    <n v="314"/>
    <x v="2"/>
    <n v="1"/>
    <n v="3"/>
    <s v="Human Resources"/>
    <n v="734"/>
    <n v="4"/>
    <s v="Male"/>
    <n v="59"/>
    <n v="2"/>
    <n v="5"/>
    <x v="5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  <x v="1"/>
    <n v="172701"/>
    <x v="1"/>
    <n v="0"/>
  </r>
  <r>
    <n v="50"/>
    <x v="1"/>
    <s v="Travel_Rarely"/>
    <n v="316"/>
    <x v="0"/>
    <n v="8"/>
    <n v="4"/>
    <s v="Marketing"/>
    <n v="738"/>
    <n v="4"/>
    <s v="Male"/>
    <n v="54"/>
    <n v="3"/>
    <n v="1"/>
    <x v="6"/>
    <n v="2"/>
    <s v="Married"/>
    <n v="3875"/>
    <n v="9983"/>
    <n v="7"/>
    <s v="No"/>
    <n v="15"/>
    <n v="3"/>
    <n v="4"/>
    <n v="1"/>
    <n v="4"/>
    <n v="2"/>
    <n v="3"/>
    <n v="2"/>
    <n v="2"/>
    <n v="2"/>
    <n v="2"/>
    <x v="3"/>
    <n v="34875"/>
    <x v="0"/>
    <n v="0"/>
  </r>
  <r>
    <n v="28"/>
    <x v="0"/>
    <s v="Travel_Rarely"/>
    <n v="654"/>
    <x v="1"/>
    <n v="1"/>
    <n v="2"/>
    <s v="Life Sciences"/>
    <n v="741"/>
    <n v="1"/>
    <s v="Female"/>
    <n v="67"/>
    <n v="1"/>
    <n v="1"/>
    <x v="1"/>
    <n v="2"/>
    <s v="Single"/>
    <n v="2216"/>
    <n v="3872"/>
    <n v="7"/>
    <s v="Yes"/>
    <n v="13"/>
    <n v="3"/>
    <n v="4"/>
    <n v="0"/>
    <n v="10"/>
    <n v="4"/>
    <n v="3"/>
    <n v="7"/>
    <n v="7"/>
    <n v="3"/>
    <n v="7"/>
    <x v="1"/>
    <n v="19944"/>
    <x v="0"/>
    <n v="19944"/>
  </r>
  <r>
    <n v="36"/>
    <x v="1"/>
    <s v="Non-Travel"/>
    <n v="427"/>
    <x v="1"/>
    <n v="8"/>
    <n v="3"/>
    <s v="Life Sciences"/>
    <n v="742"/>
    <n v="1"/>
    <s v="Female"/>
    <n v="63"/>
    <n v="4"/>
    <n v="3"/>
    <x v="7"/>
    <n v="1"/>
    <s v="Married"/>
    <n v="11713"/>
    <n v="20335"/>
    <n v="9"/>
    <s v="No"/>
    <n v="14"/>
    <n v="3"/>
    <n v="1"/>
    <n v="1"/>
    <n v="10"/>
    <n v="2"/>
    <n v="3"/>
    <n v="8"/>
    <n v="7"/>
    <n v="0"/>
    <n v="5"/>
    <x v="1"/>
    <n v="105417"/>
    <x v="0"/>
    <n v="0"/>
  </r>
  <r>
    <n v="38"/>
    <x v="1"/>
    <s v="Travel_Rarely"/>
    <n v="168"/>
    <x v="1"/>
    <n v="1"/>
    <n v="3"/>
    <s v="Life Sciences"/>
    <n v="743"/>
    <n v="3"/>
    <s v="Female"/>
    <n v="81"/>
    <n v="3"/>
    <n v="3"/>
    <x v="3"/>
    <n v="3"/>
    <s v="Single"/>
    <n v="7861"/>
    <n v="15397"/>
    <n v="4"/>
    <s v="Yes"/>
    <n v="14"/>
    <n v="3"/>
    <n v="4"/>
    <n v="0"/>
    <n v="10"/>
    <n v="4"/>
    <n v="4"/>
    <n v="1"/>
    <n v="0"/>
    <n v="0"/>
    <n v="0"/>
    <x v="3"/>
    <n v="70749"/>
    <x v="0"/>
    <n v="0"/>
  </r>
  <r>
    <n v="44"/>
    <x v="1"/>
    <s v="Non-Travel"/>
    <n v="381"/>
    <x v="1"/>
    <n v="24"/>
    <n v="3"/>
    <s v="Medical"/>
    <n v="744"/>
    <n v="1"/>
    <s v="Male"/>
    <n v="49"/>
    <n v="1"/>
    <n v="1"/>
    <x v="2"/>
    <n v="3"/>
    <s v="Single"/>
    <n v="3708"/>
    <n v="2104"/>
    <n v="2"/>
    <s v="No"/>
    <n v="14"/>
    <n v="3"/>
    <n v="3"/>
    <n v="0"/>
    <n v="9"/>
    <n v="5"/>
    <n v="3"/>
    <n v="5"/>
    <n v="2"/>
    <n v="1"/>
    <n v="4"/>
    <x v="0"/>
    <n v="33372"/>
    <x v="1"/>
    <n v="0"/>
  </r>
  <r>
    <n v="47"/>
    <x v="1"/>
    <s v="Travel_Frequently"/>
    <n v="217"/>
    <x v="0"/>
    <n v="3"/>
    <n v="3"/>
    <s v="Medical"/>
    <n v="746"/>
    <n v="4"/>
    <s v="Female"/>
    <n v="49"/>
    <n v="3"/>
    <n v="4"/>
    <x v="0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  <x v="1"/>
    <n v="123930"/>
    <x v="0"/>
    <n v="0"/>
  </r>
  <r>
    <n v="30"/>
    <x v="1"/>
    <s v="Travel_Rarely"/>
    <n v="501"/>
    <x v="0"/>
    <n v="27"/>
    <n v="5"/>
    <s v="Marketing"/>
    <n v="747"/>
    <n v="3"/>
    <s v="Male"/>
    <n v="99"/>
    <n v="3"/>
    <n v="2"/>
    <x v="0"/>
    <n v="4"/>
    <s v="Divorced"/>
    <n v="5304"/>
    <n v="25275"/>
    <n v="7"/>
    <s v="No"/>
    <n v="23"/>
    <n v="4"/>
    <n v="4"/>
    <n v="1"/>
    <n v="10"/>
    <n v="2"/>
    <n v="2"/>
    <n v="8"/>
    <n v="7"/>
    <n v="7"/>
    <n v="7"/>
    <x v="1"/>
    <n v="47736"/>
    <x v="1"/>
    <n v="0"/>
  </r>
  <r>
    <n v="29"/>
    <x v="1"/>
    <s v="Travel_Rarely"/>
    <n v="1396"/>
    <x v="0"/>
    <n v="10"/>
    <n v="3"/>
    <s v="Life Sciences"/>
    <n v="749"/>
    <n v="3"/>
    <s v="Male"/>
    <n v="99"/>
    <n v="3"/>
    <n v="1"/>
    <x v="6"/>
    <n v="3"/>
    <s v="Single"/>
    <n v="2642"/>
    <n v="2755"/>
    <n v="1"/>
    <s v="No"/>
    <n v="11"/>
    <n v="3"/>
    <n v="3"/>
    <n v="0"/>
    <n v="1"/>
    <n v="6"/>
    <n v="3"/>
    <n v="1"/>
    <n v="0"/>
    <n v="0"/>
    <n v="0"/>
    <x v="3"/>
    <n v="23778"/>
    <x v="1"/>
    <n v="0"/>
  </r>
  <r>
    <n v="42"/>
    <x v="0"/>
    <s v="Travel_Frequently"/>
    <n v="933"/>
    <x v="1"/>
    <n v="19"/>
    <n v="3"/>
    <s v="Medical"/>
    <n v="752"/>
    <n v="3"/>
    <s v="Male"/>
    <n v="57"/>
    <n v="4"/>
    <n v="1"/>
    <x v="1"/>
    <n v="3"/>
    <s v="Divorced"/>
    <n v="2759"/>
    <n v="20366"/>
    <n v="6"/>
    <s v="Yes"/>
    <n v="12"/>
    <n v="3"/>
    <n v="4"/>
    <n v="0"/>
    <n v="7"/>
    <n v="2"/>
    <n v="3"/>
    <n v="2"/>
    <n v="2"/>
    <n v="2"/>
    <n v="2"/>
    <x v="3"/>
    <n v="24831"/>
    <x v="0"/>
    <n v="24831"/>
  </r>
  <r>
    <n v="43"/>
    <x v="1"/>
    <s v="Travel_Frequently"/>
    <n v="775"/>
    <x v="0"/>
    <n v="15"/>
    <n v="3"/>
    <s v="Life Sciences"/>
    <n v="754"/>
    <n v="4"/>
    <s v="Male"/>
    <n v="47"/>
    <n v="2"/>
    <n v="2"/>
    <x v="0"/>
    <n v="4"/>
    <s v="Married"/>
    <n v="6804"/>
    <n v="23683"/>
    <n v="3"/>
    <s v="No"/>
    <n v="18"/>
    <n v="3"/>
    <n v="3"/>
    <n v="1"/>
    <n v="7"/>
    <n v="5"/>
    <n v="3"/>
    <n v="2"/>
    <n v="2"/>
    <n v="2"/>
    <n v="2"/>
    <x v="3"/>
    <n v="61236"/>
    <x v="1"/>
    <n v="0"/>
  </r>
  <r>
    <n v="34"/>
    <x v="1"/>
    <s v="Travel_Rarely"/>
    <n v="970"/>
    <x v="1"/>
    <n v="8"/>
    <n v="2"/>
    <s v="Medical"/>
    <n v="757"/>
    <n v="2"/>
    <s v="Female"/>
    <n v="96"/>
    <n v="3"/>
    <n v="2"/>
    <x v="4"/>
    <n v="3"/>
    <s v="Single"/>
    <n v="6142"/>
    <n v="7360"/>
    <n v="3"/>
    <s v="No"/>
    <n v="11"/>
    <n v="3"/>
    <n v="4"/>
    <n v="0"/>
    <n v="10"/>
    <n v="2"/>
    <n v="3"/>
    <n v="5"/>
    <n v="1"/>
    <n v="4"/>
    <n v="3"/>
    <x v="0"/>
    <n v="55278"/>
    <x v="1"/>
    <n v="0"/>
  </r>
  <r>
    <n v="23"/>
    <x v="1"/>
    <s v="Travel_Rarely"/>
    <n v="650"/>
    <x v="1"/>
    <n v="9"/>
    <n v="1"/>
    <s v="Medical"/>
    <n v="758"/>
    <n v="2"/>
    <s v="Male"/>
    <n v="37"/>
    <n v="3"/>
    <n v="1"/>
    <x v="2"/>
    <n v="1"/>
    <s v="Married"/>
    <n v="2500"/>
    <n v="4344"/>
    <n v="1"/>
    <s v="No"/>
    <n v="14"/>
    <n v="3"/>
    <n v="4"/>
    <n v="1"/>
    <n v="5"/>
    <n v="2"/>
    <n v="4"/>
    <n v="4"/>
    <n v="3"/>
    <n v="0"/>
    <n v="2"/>
    <x v="0"/>
    <n v="22500"/>
    <x v="0"/>
    <n v="0"/>
  </r>
  <r>
    <n v="39"/>
    <x v="1"/>
    <s v="Travel_Rarely"/>
    <n v="141"/>
    <x v="2"/>
    <n v="3"/>
    <n v="3"/>
    <s v="Human Resources"/>
    <n v="760"/>
    <n v="3"/>
    <s v="Female"/>
    <n v="44"/>
    <n v="4"/>
    <n v="2"/>
    <x v="8"/>
    <n v="2"/>
    <s v="Married"/>
    <n v="6389"/>
    <n v="18767"/>
    <n v="9"/>
    <s v="No"/>
    <n v="15"/>
    <n v="3"/>
    <n v="3"/>
    <n v="1"/>
    <n v="12"/>
    <n v="3"/>
    <n v="1"/>
    <n v="8"/>
    <n v="3"/>
    <n v="3"/>
    <n v="6"/>
    <x v="1"/>
    <n v="57501"/>
    <x v="0"/>
    <n v="0"/>
  </r>
  <r>
    <n v="56"/>
    <x v="1"/>
    <s v="Travel_Rarely"/>
    <n v="832"/>
    <x v="1"/>
    <n v="9"/>
    <n v="3"/>
    <s v="Medical"/>
    <n v="762"/>
    <n v="3"/>
    <s v="Male"/>
    <n v="81"/>
    <n v="3"/>
    <n v="4"/>
    <x v="4"/>
    <n v="4"/>
    <s v="Married"/>
    <n v="11103"/>
    <n v="20420"/>
    <n v="7"/>
    <s v="No"/>
    <n v="11"/>
    <n v="3"/>
    <n v="3"/>
    <n v="0"/>
    <n v="30"/>
    <n v="1"/>
    <n v="2"/>
    <n v="10"/>
    <n v="7"/>
    <n v="1"/>
    <n v="1"/>
    <x v="1"/>
    <n v="99927"/>
    <x v="1"/>
    <n v="0"/>
  </r>
  <r>
    <n v="40"/>
    <x v="1"/>
    <s v="Travel_Rarely"/>
    <n v="804"/>
    <x v="1"/>
    <n v="2"/>
    <n v="1"/>
    <s v="Medical"/>
    <n v="763"/>
    <n v="4"/>
    <s v="Female"/>
    <n v="86"/>
    <n v="2"/>
    <n v="1"/>
    <x v="1"/>
    <n v="4"/>
    <s v="Single"/>
    <n v="2342"/>
    <n v="22929"/>
    <n v="0"/>
    <s v="Yes"/>
    <n v="20"/>
    <n v="4"/>
    <n v="4"/>
    <n v="0"/>
    <n v="5"/>
    <n v="2"/>
    <n v="2"/>
    <n v="4"/>
    <n v="2"/>
    <n v="2"/>
    <n v="3"/>
    <x v="0"/>
    <n v="21078"/>
    <x v="0"/>
    <n v="0"/>
  </r>
  <r>
    <n v="27"/>
    <x v="1"/>
    <s v="Travel_Rarely"/>
    <n v="975"/>
    <x v="1"/>
    <n v="7"/>
    <n v="3"/>
    <s v="Medical"/>
    <n v="764"/>
    <n v="4"/>
    <s v="Female"/>
    <n v="55"/>
    <n v="2"/>
    <n v="2"/>
    <x v="4"/>
    <n v="1"/>
    <s v="Single"/>
    <n v="6811"/>
    <n v="23398"/>
    <n v="8"/>
    <s v="No"/>
    <n v="19"/>
    <n v="3"/>
    <n v="1"/>
    <n v="0"/>
    <n v="9"/>
    <n v="2"/>
    <n v="1"/>
    <n v="7"/>
    <n v="6"/>
    <n v="0"/>
    <n v="7"/>
    <x v="1"/>
    <n v="61299"/>
    <x v="0"/>
    <n v="0"/>
  </r>
  <r>
    <n v="29"/>
    <x v="1"/>
    <s v="Travel_Rarely"/>
    <n v="1090"/>
    <x v="0"/>
    <n v="10"/>
    <n v="3"/>
    <s v="Marketing"/>
    <n v="766"/>
    <n v="4"/>
    <s v="Male"/>
    <n v="83"/>
    <n v="3"/>
    <n v="1"/>
    <x v="6"/>
    <n v="2"/>
    <s v="Divorced"/>
    <n v="2297"/>
    <n v="17967"/>
    <n v="1"/>
    <s v="No"/>
    <n v="14"/>
    <n v="3"/>
    <n v="4"/>
    <n v="2"/>
    <n v="2"/>
    <n v="2"/>
    <n v="3"/>
    <n v="2"/>
    <n v="2"/>
    <n v="2"/>
    <n v="2"/>
    <x v="3"/>
    <n v="20673"/>
    <x v="0"/>
    <n v="0"/>
  </r>
  <r>
    <n v="53"/>
    <x v="1"/>
    <s v="Travel_Rarely"/>
    <n v="346"/>
    <x v="1"/>
    <n v="6"/>
    <n v="3"/>
    <s v="Life Sciences"/>
    <n v="769"/>
    <n v="4"/>
    <s v="Male"/>
    <n v="86"/>
    <n v="3"/>
    <n v="2"/>
    <x v="2"/>
    <n v="4"/>
    <s v="Single"/>
    <n v="2450"/>
    <n v="10919"/>
    <n v="2"/>
    <s v="No"/>
    <n v="17"/>
    <n v="3"/>
    <n v="4"/>
    <n v="0"/>
    <n v="19"/>
    <n v="4"/>
    <n v="3"/>
    <n v="2"/>
    <n v="2"/>
    <n v="2"/>
    <n v="2"/>
    <x v="3"/>
    <n v="22050"/>
    <x v="1"/>
    <n v="0"/>
  </r>
  <r>
    <n v="35"/>
    <x v="1"/>
    <s v="Non-Travel"/>
    <n v="1225"/>
    <x v="1"/>
    <n v="2"/>
    <n v="4"/>
    <s v="Life Sciences"/>
    <n v="771"/>
    <n v="4"/>
    <s v="Female"/>
    <n v="61"/>
    <n v="3"/>
    <n v="2"/>
    <x v="4"/>
    <n v="1"/>
    <s v="Divorced"/>
    <n v="5093"/>
    <n v="4761"/>
    <n v="2"/>
    <s v="No"/>
    <n v="11"/>
    <n v="3"/>
    <n v="1"/>
    <n v="1"/>
    <n v="16"/>
    <n v="2"/>
    <n v="4"/>
    <n v="1"/>
    <n v="0"/>
    <n v="0"/>
    <n v="0"/>
    <x v="3"/>
    <n v="45837"/>
    <x v="0"/>
    <n v="0"/>
  </r>
  <r>
    <n v="32"/>
    <x v="1"/>
    <s v="Travel_Frequently"/>
    <n v="430"/>
    <x v="1"/>
    <n v="24"/>
    <n v="4"/>
    <s v="Life Sciences"/>
    <n v="772"/>
    <n v="1"/>
    <s v="Male"/>
    <n v="80"/>
    <n v="3"/>
    <n v="2"/>
    <x v="2"/>
    <n v="4"/>
    <s v="Married"/>
    <n v="5309"/>
    <n v="21146"/>
    <n v="1"/>
    <s v="No"/>
    <n v="15"/>
    <n v="3"/>
    <n v="4"/>
    <n v="2"/>
    <n v="10"/>
    <n v="2"/>
    <n v="3"/>
    <n v="10"/>
    <n v="8"/>
    <n v="4"/>
    <n v="7"/>
    <x v="1"/>
    <n v="47781"/>
    <x v="1"/>
    <n v="0"/>
  </r>
  <r>
    <n v="38"/>
    <x v="1"/>
    <s v="Travel_Rarely"/>
    <n v="268"/>
    <x v="1"/>
    <n v="2"/>
    <n v="5"/>
    <s v="Medical"/>
    <n v="773"/>
    <n v="4"/>
    <s v="Male"/>
    <n v="92"/>
    <n v="3"/>
    <n v="1"/>
    <x v="1"/>
    <n v="3"/>
    <s v="Married"/>
    <n v="3057"/>
    <n v="20471"/>
    <n v="6"/>
    <s v="Yes"/>
    <n v="13"/>
    <n v="3"/>
    <n v="2"/>
    <n v="1"/>
    <n v="6"/>
    <n v="0"/>
    <n v="1"/>
    <n v="1"/>
    <n v="0"/>
    <n v="0"/>
    <n v="1"/>
    <x v="3"/>
    <n v="27513"/>
    <x v="0"/>
    <n v="0"/>
  </r>
  <r>
    <n v="34"/>
    <x v="1"/>
    <s v="Travel_Rarely"/>
    <n v="167"/>
    <x v="1"/>
    <n v="8"/>
    <n v="5"/>
    <s v="Life Sciences"/>
    <n v="775"/>
    <n v="2"/>
    <s v="Female"/>
    <n v="32"/>
    <n v="3"/>
    <n v="2"/>
    <x v="3"/>
    <n v="1"/>
    <s v="Divorced"/>
    <n v="5121"/>
    <n v="4187"/>
    <n v="3"/>
    <s v="No"/>
    <n v="14"/>
    <n v="3"/>
    <n v="3"/>
    <n v="1"/>
    <n v="7"/>
    <n v="3"/>
    <n v="3"/>
    <n v="0"/>
    <n v="0"/>
    <n v="0"/>
    <n v="0"/>
    <x v="2"/>
    <n v="46089"/>
    <x v="0"/>
    <n v="0"/>
  </r>
  <r>
    <n v="52"/>
    <x v="1"/>
    <s v="Travel_Rarely"/>
    <n v="621"/>
    <x v="0"/>
    <n v="3"/>
    <n v="4"/>
    <s v="Marketing"/>
    <n v="776"/>
    <n v="3"/>
    <s v="Male"/>
    <n v="31"/>
    <n v="2"/>
    <n v="4"/>
    <x v="5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  <x v="1"/>
    <n v="151704"/>
    <x v="0"/>
    <n v="0"/>
  </r>
  <r>
    <n v="33"/>
    <x v="0"/>
    <s v="Travel_Rarely"/>
    <n v="527"/>
    <x v="1"/>
    <n v="1"/>
    <n v="4"/>
    <s v="Other"/>
    <n v="780"/>
    <n v="4"/>
    <s v="Male"/>
    <n v="63"/>
    <n v="3"/>
    <n v="1"/>
    <x v="1"/>
    <n v="4"/>
    <s v="Single"/>
    <n v="2686"/>
    <n v="5207"/>
    <n v="1"/>
    <s v="Yes"/>
    <n v="13"/>
    <n v="3"/>
    <n v="3"/>
    <n v="0"/>
    <n v="10"/>
    <n v="2"/>
    <n v="2"/>
    <n v="10"/>
    <n v="9"/>
    <n v="7"/>
    <n v="8"/>
    <x v="1"/>
    <n v="24174"/>
    <x v="0"/>
    <n v="24174"/>
  </r>
  <r>
    <n v="25"/>
    <x v="1"/>
    <s v="Travel_Rarely"/>
    <n v="883"/>
    <x v="0"/>
    <n v="26"/>
    <n v="1"/>
    <s v="Medical"/>
    <n v="781"/>
    <n v="3"/>
    <s v="Female"/>
    <n v="32"/>
    <n v="3"/>
    <n v="2"/>
    <x v="0"/>
    <n v="4"/>
    <s v="Single"/>
    <n v="6180"/>
    <n v="22807"/>
    <n v="1"/>
    <s v="No"/>
    <n v="23"/>
    <n v="4"/>
    <n v="2"/>
    <n v="0"/>
    <n v="6"/>
    <n v="5"/>
    <n v="2"/>
    <n v="6"/>
    <n v="5"/>
    <n v="1"/>
    <n v="4"/>
    <x v="0"/>
    <n v="55620"/>
    <x v="1"/>
    <n v="0"/>
  </r>
  <r>
    <n v="45"/>
    <x v="1"/>
    <s v="Travel_Rarely"/>
    <n v="954"/>
    <x v="0"/>
    <n v="2"/>
    <n v="2"/>
    <s v="Technical Degree"/>
    <n v="783"/>
    <n v="2"/>
    <s v="Male"/>
    <n v="46"/>
    <n v="1"/>
    <n v="2"/>
    <x v="6"/>
    <n v="3"/>
    <s v="Single"/>
    <n v="6632"/>
    <n v="12388"/>
    <n v="0"/>
    <s v="No"/>
    <n v="13"/>
    <n v="3"/>
    <n v="1"/>
    <n v="0"/>
    <n v="9"/>
    <n v="3"/>
    <n v="3"/>
    <n v="8"/>
    <n v="7"/>
    <n v="3"/>
    <n v="1"/>
    <x v="1"/>
    <n v="59688"/>
    <x v="1"/>
    <n v="0"/>
  </r>
  <r>
    <n v="23"/>
    <x v="1"/>
    <s v="Travel_Rarely"/>
    <n v="310"/>
    <x v="1"/>
    <n v="10"/>
    <n v="1"/>
    <s v="Medical"/>
    <n v="784"/>
    <n v="1"/>
    <s v="Male"/>
    <n v="79"/>
    <n v="4"/>
    <n v="1"/>
    <x v="1"/>
    <n v="3"/>
    <s v="Single"/>
    <n v="3505"/>
    <n v="19630"/>
    <n v="1"/>
    <s v="No"/>
    <n v="18"/>
    <n v="3"/>
    <n v="4"/>
    <n v="0"/>
    <n v="2"/>
    <n v="3"/>
    <n v="3"/>
    <n v="2"/>
    <n v="2"/>
    <n v="0"/>
    <n v="2"/>
    <x v="3"/>
    <n v="31545"/>
    <x v="1"/>
    <n v="0"/>
  </r>
  <r>
    <n v="47"/>
    <x v="0"/>
    <s v="Travel_Frequently"/>
    <n v="719"/>
    <x v="0"/>
    <n v="27"/>
    <n v="2"/>
    <s v="Life Sciences"/>
    <n v="785"/>
    <n v="2"/>
    <s v="Female"/>
    <n v="77"/>
    <n v="4"/>
    <n v="2"/>
    <x v="0"/>
    <n v="3"/>
    <s v="Single"/>
    <n v="6397"/>
    <n v="10339"/>
    <n v="4"/>
    <s v="Yes"/>
    <n v="12"/>
    <n v="3"/>
    <n v="4"/>
    <n v="0"/>
    <n v="8"/>
    <n v="2"/>
    <n v="3"/>
    <n v="5"/>
    <n v="4"/>
    <n v="1"/>
    <n v="3"/>
    <x v="0"/>
    <n v="57573"/>
    <x v="0"/>
    <n v="57573"/>
  </r>
  <r>
    <n v="34"/>
    <x v="1"/>
    <s v="Travel_Rarely"/>
    <n v="304"/>
    <x v="0"/>
    <n v="2"/>
    <n v="3"/>
    <s v="Other"/>
    <n v="786"/>
    <n v="4"/>
    <s v="Male"/>
    <n v="60"/>
    <n v="3"/>
    <n v="2"/>
    <x v="0"/>
    <n v="4"/>
    <s v="Single"/>
    <n v="6274"/>
    <n v="18686"/>
    <n v="1"/>
    <s v="No"/>
    <n v="22"/>
    <n v="4"/>
    <n v="3"/>
    <n v="0"/>
    <n v="6"/>
    <n v="5"/>
    <n v="3"/>
    <n v="6"/>
    <n v="5"/>
    <n v="1"/>
    <n v="4"/>
    <x v="0"/>
    <n v="56466"/>
    <x v="1"/>
    <n v="0"/>
  </r>
  <r>
    <n v="55"/>
    <x v="0"/>
    <s v="Travel_Rarely"/>
    <n v="725"/>
    <x v="1"/>
    <n v="2"/>
    <n v="3"/>
    <s v="Medical"/>
    <n v="787"/>
    <n v="4"/>
    <s v="Male"/>
    <n v="78"/>
    <n v="3"/>
    <n v="5"/>
    <x v="5"/>
    <n v="1"/>
    <s v="Married"/>
    <n v="19859"/>
    <n v="21199"/>
    <n v="5"/>
    <s v="Yes"/>
    <n v="13"/>
    <n v="3"/>
    <n v="4"/>
    <n v="1"/>
    <n v="24"/>
    <n v="2"/>
    <n v="3"/>
    <n v="5"/>
    <n v="2"/>
    <n v="1"/>
    <n v="4"/>
    <x v="0"/>
    <n v="178731"/>
    <x v="0"/>
    <n v="178731"/>
  </r>
  <r>
    <n v="36"/>
    <x v="1"/>
    <s v="Non-Travel"/>
    <n v="1434"/>
    <x v="0"/>
    <n v="8"/>
    <n v="4"/>
    <s v="Life Sciences"/>
    <n v="789"/>
    <n v="1"/>
    <s v="Male"/>
    <n v="76"/>
    <n v="2"/>
    <n v="3"/>
    <x v="0"/>
    <n v="1"/>
    <s v="Single"/>
    <n v="7587"/>
    <n v="14229"/>
    <n v="1"/>
    <s v="No"/>
    <n v="15"/>
    <n v="3"/>
    <n v="2"/>
    <n v="0"/>
    <n v="10"/>
    <n v="1"/>
    <n v="3"/>
    <n v="10"/>
    <n v="7"/>
    <n v="0"/>
    <n v="9"/>
    <x v="1"/>
    <n v="68283"/>
    <x v="0"/>
    <n v="0"/>
  </r>
  <r>
    <n v="52"/>
    <x v="1"/>
    <s v="Non-Travel"/>
    <n v="715"/>
    <x v="1"/>
    <n v="19"/>
    <n v="4"/>
    <s v="Medical"/>
    <n v="791"/>
    <n v="4"/>
    <s v="Male"/>
    <n v="41"/>
    <n v="3"/>
    <n v="1"/>
    <x v="1"/>
    <n v="4"/>
    <s v="Married"/>
    <n v="4258"/>
    <n v="26589"/>
    <n v="0"/>
    <s v="No"/>
    <n v="18"/>
    <n v="3"/>
    <n v="1"/>
    <n v="1"/>
    <n v="5"/>
    <n v="3"/>
    <n v="3"/>
    <n v="4"/>
    <n v="3"/>
    <n v="1"/>
    <n v="2"/>
    <x v="0"/>
    <n v="38322"/>
    <x v="1"/>
    <n v="0"/>
  </r>
  <r>
    <n v="26"/>
    <x v="1"/>
    <s v="Travel_Frequently"/>
    <n v="575"/>
    <x v="1"/>
    <n v="1"/>
    <n v="2"/>
    <s v="Life Sciences"/>
    <n v="792"/>
    <n v="1"/>
    <s v="Female"/>
    <n v="71"/>
    <n v="1"/>
    <n v="1"/>
    <x v="2"/>
    <n v="4"/>
    <s v="Divorced"/>
    <n v="4364"/>
    <n v="5288"/>
    <n v="3"/>
    <s v="No"/>
    <n v="14"/>
    <n v="3"/>
    <n v="1"/>
    <n v="1"/>
    <n v="5"/>
    <n v="2"/>
    <n v="3"/>
    <n v="2"/>
    <n v="2"/>
    <n v="2"/>
    <n v="0"/>
    <x v="3"/>
    <n v="39276"/>
    <x v="1"/>
    <n v="0"/>
  </r>
  <r>
    <n v="29"/>
    <x v="1"/>
    <s v="Travel_Rarely"/>
    <n v="657"/>
    <x v="1"/>
    <n v="27"/>
    <n v="3"/>
    <s v="Medical"/>
    <n v="793"/>
    <n v="2"/>
    <s v="Female"/>
    <n v="66"/>
    <n v="3"/>
    <n v="2"/>
    <x v="4"/>
    <n v="3"/>
    <s v="Married"/>
    <n v="4335"/>
    <n v="25549"/>
    <n v="4"/>
    <s v="No"/>
    <n v="12"/>
    <n v="3"/>
    <n v="1"/>
    <n v="1"/>
    <n v="11"/>
    <n v="3"/>
    <n v="2"/>
    <n v="8"/>
    <n v="7"/>
    <n v="1"/>
    <n v="1"/>
    <x v="1"/>
    <n v="39015"/>
    <x v="1"/>
    <n v="0"/>
  </r>
  <r>
    <n v="26"/>
    <x v="0"/>
    <s v="Travel_Rarely"/>
    <n v="1146"/>
    <x v="0"/>
    <n v="8"/>
    <n v="3"/>
    <s v="Technical Degree"/>
    <n v="796"/>
    <n v="4"/>
    <s v="Male"/>
    <n v="38"/>
    <n v="2"/>
    <n v="2"/>
    <x v="0"/>
    <n v="1"/>
    <s v="Single"/>
    <n v="5326"/>
    <n v="3064"/>
    <n v="6"/>
    <s v="No"/>
    <n v="17"/>
    <n v="3"/>
    <n v="3"/>
    <n v="0"/>
    <n v="6"/>
    <n v="2"/>
    <n v="2"/>
    <n v="4"/>
    <n v="3"/>
    <n v="1"/>
    <n v="2"/>
    <x v="0"/>
    <n v="47934"/>
    <x v="0"/>
    <n v="47934"/>
  </r>
  <r>
    <n v="34"/>
    <x v="1"/>
    <s v="Travel_Rarely"/>
    <n v="182"/>
    <x v="1"/>
    <n v="1"/>
    <n v="4"/>
    <s v="Life Sciences"/>
    <n v="797"/>
    <n v="2"/>
    <s v="Female"/>
    <n v="72"/>
    <n v="4"/>
    <n v="1"/>
    <x v="1"/>
    <n v="4"/>
    <s v="Single"/>
    <n v="3280"/>
    <n v="13551"/>
    <n v="2"/>
    <s v="No"/>
    <n v="16"/>
    <n v="3"/>
    <n v="3"/>
    <n v="0"/>
    <n v="10"/>
    <n v="2"/>
    <n v="3"/>
    <n v="4"/>
    <n v="2"/>
    <n v="1"/>
    <n v="3"/>
    <x v="0"/>
    <n v="29520"/>
    <x v="1"/>
    <n v="0"/>
  </r>
  <r>
    <n v="54"/>
    <x v="1"/>
    <s v="Travel_Rarely"/>
    <n v="376"/>
    <x v="1"/>
    <n v="19"/>
    <n v="4"/>
    <s v="Medical"/>
    <n v="799"/>
    <n v="4"/>
    <s v="Female"/>
    <n v="95"/>
    <n v="3"/>
    <n v="2"/>
    <x v="3"/>
    <n v="1"/>
    <s v="Divorced"/>
    <n v="5485"/>
    <n v="22670"/>
    <n v="9"/>
    <s v="Yes"/>
    <n v="11"/>
    <n v="3"/>
    <n v="2"/>
    <n v="2"/>
    <n v="9"/>
    <n v="4"/>
    <n v="3"/>
    <n v="5"/>
    <n v="3"/>
    <n v="1"/>
    <n v="4"/>
    <x v="0"/>
    <n v="49365"/>
    <x v="0"/>
    <n v="0"/>
  </r>
  <r>
    <n v="27"/>
    <x v="1"/>
    <s v="Travel_Frequently"/>
    <n v="829"/>
    <x v="0"/>
    <n v="8"/>
    <n v="1"/>
    <s v="Marketing"/>
    <n v="800"/>
    <n v="3"/>
    <s v="Male"/>
    <n v="84"/>
    <n v="3"/>
    <n v="2"/>
    <x v="0"/>
    <n v="4"/>
    <s v="Married"/>
    <n v="4342"/>
    <n v="24008"/>
    <n v="0"/>
    <s v="No"/>
    <n v="19"/>
    <n v="3"/>
    <n v="2"/>
    <n v="1"/>
    <n v="5"/>
    <n v="3"/>
    <n v="3"/>
    <n v="4"/>
    <n v="2"/>
    <n v="1"/>
    <n v="1"/>
    <x v="0"/>
    <n v="39078"/>
    <x v="1"/>
    <n v="0"/>
  </r>
  <r>
    <n v="37"/>
    <x v="1"/>
    <s v="Travel_Rarely"/>
    <n v="571"/>
    <x v="1"/>
    <n v="10"/>
    <n v="1"/>
    <s v="Life Sciences"/>
    <n v="802"/>
    <n v="4"/>
    <s v="Female"/>
    <n v="82"/>
    <n v="3"/>
    <n v="1"/>
    <x v="1"/>
    <n v="1"/>
    <s v="Divorced"/>
    <n v="2782"/>
    <n v="19905"/>
    <n v="0"/>
    <s v="Yes"/>
    <n v="13"/>
    <n v="3"/>
    <n v="2"/>
    <n v="2"/>
    <n v="6"/>
    <n v="3"/>
    <n v="2"/>
    <n v="5"/>
    <n v="3"/>
    <n v="4"/>
    <n v="3"/>
    <x v="0"/>
    <n v="25038"/>
    <x v="0"/>
    <n v="0"/>
  </r>
  <r>
    <n v="38"/>
    <x v="1"/>
    <s v="Travel_Frequently"/>
    <n v="240"/>
    <x v="1"/>
    <n v="2"/>
    <n v="4"/>
    <s v="Life Sciences"/>
    <n v="803"/>
    <n v="1"/>
    <s v="Female"/>
    <n v="75"/>
    <n v="4"/>
    <n v="2"/>
    <x v="3"/>
    <n v="1"/>
    <s v="Single"/>
    <n v="5980"/>
    <n v="26085"/>
    <n v="6"/>
    <s v="Yes"/>
    <n v="12"/>
    <n v="3"/>
    <n v="4"/>
    <n v="0"/>
    <n v="17"/>
    <n v="2"/>
    <n v="3"/>
    <n v="15"/>
    <n v="7"/>
    <n v="4"/>
    <n v="12"/>
    <x v="1"/>
    <n v="53820"/>
    <x v="0"/>
    <n v="0"/>
  </r>
  <r>
    <n v="34"/>
    <x v="1"/>
    <s v="Travel_Rarely"/>
    <n v="121"/>
    <x v="1"/>
    <n v="2"/>
    <n v="4"/>
    <s v="Medical"/>
    <n v="804"/>
    <n v="3"/>
    <s v="Female"/>
    <n v="86"/>
    <n v="2"/>
    <n v="1"/>
    <x v="1"/>
    <n v="1"/>
    <s v="Single"/>
    <n v="4381"/>
    <n v="7530"/>
    <n v="1"/>
    <s v="No"/>
    <n v="11"/>
    <n v="3"/>
    <n v="3"/>
    <n v="0"/>
    <n v="6"/>
    <n v="3"/>
    <n v="3"/>
    <n v="6"/>
    <n v="5"/>
    <n v="1"/>
    <n v="3"/>
    <x v="0"/>
    <n v="39429"/>
    <x v="0"/>
    <n v="0"/>
  </r>
  <r>
    <n v="35"/>
    <x v="1"/>
    <s v="Travel_Rarely"/>
    <n v="384"/>
    <x v="0"/>
    <n v="8"/>
    <n v="4"/>
    <s v="Life Sciences"/>
    <n v="805"/>
    <n v="1"/>
    <s v="Female"/>
    <n v="72"/>
    <n v="3"/>
    <n v="1"/>
    <x v="6"/>
    <n v="4"/>
    <s v="Married"/>
    <n v="2572"/>
    <n v="20317"/>
    <n v="1"/>
    <s v="No"/>
    <n v="16"/>
    <n v="3"/>
    <n v="2"/>
    <n v="1"/>
    <n v="3"/>
    <n v="1"/>
    <n v="2"/>
    <n v="3"/>
    <n v="2"/>
    <n v="0"/>
    <n v="2"/>
    <x v="3"/>
    <n v="23148"/>
    <x v="1"/>
    <n v="0"/>
  </r>
  <r>
    <n v="30"/>
    <x v="1"/>
    <s v="Travel_Rarely"/>
    <n v="921"/>
    <x v="1"/>
    <n v="1"/>
    <n v="3"/>
    <s v="Life Sciences"/>
    <n v="806"/>
    <n v="4"/>
    <s v="Male"/>
    <n v="38"/>
    <n v="1"/>
    <n v="1"/>
    <x v="2"/>
    <n v="3"/>
    <s v="Married"/>
    <n v="3833"/>
    <n v="24375"/>
    <n v="3"/>
    <s v="No"/>
    <n v="21"/>
    <n v="4"/>
    <n v="3"/>
    <n v="2"/>
    <n v="7"/>
    <n v="2"/>
    <n v="3"/>
    <n v="2"/>
    <n v="2"/>
    <n v="0"/>
    <n v="2"/>
    <x v="3"/>
    <n v="34497"/>
    <x v="1"/>
    <n v="0"/>
  </r>
  <r>
    <n v="40"/>
    <x v="1"/>
    <s v="Travel_Frequently"/>
    <n v="791"/>
    <x v="1"/>
    <n v="2"/>
    <n v="2"/>
    <s v="Medical"/>
    <n v="807"/>
    <n v="3"/>
    <s v="Female"/>
    <n v="38"/>
    <n v="4"/>
    <n v="2"/>
    <x v="4"/>
    <n v="2"/>
    <s v="Married"/>
    <n v="4244"/>
    <n v="9931"/>
    <n v="1"/>
    <s v="No"/>
    <n v="24"/>
    <n v="4"/>
    <n v="4"/>
    <n v="1"/>
    <n v="8"/>
    <n v="2"/>
    <n v="3"/>
    <n v="8"/>
    <n v="7"/>
    <n v="3"/>
    <n v="7"/>
    <x v="1"/>
    <n v="38196"/>
    <x v="0"/>
    <n v="0"/>
  </r>
  <r>
    <n v="34"/>
    <x v="1"/>
    <s v="Travel_Rarely"/>
    <n v="1111"/>
    <x v="0"/>
    <n v="8"/>
    <n v="2"/>
    <s v="Life Sciences"/>
    <n v="808"/>
    <n v="3"/>
    <s v="Female"/>
    <n v="93"/>
    <n v="3"/>
    <n v="2"/>
    <x v="0"/>
    <n v="1"/>
    <s v="Married"/>
    <n v="6500"/>
    <n v="13305"/>
    <n v="5"/>
    <s v="No"/>
    <n v="17"/>
    <n v="3"/>
    <n v="2"/>
    <n v="1"/>
    <n v="6"/>
    <n v="1"/>
    <n v="3"/>
    <n v="3"/>
    <n v="2"/>
    <n v="1"/>
    <n v="2"/>
    <x v="3"/>
    <n v="58500"/>
    <x v="0"/>
    <n v="0"/>
  </r>
  <r>
    <n v="42"/>
    <x v="1"/>
    <s v="Travel_Frequently"/>
    <n v="570"/>
    <x v="1"/>
    <n v="8"/>
    <n v="3"/>
    <s v="Life Sciences"/>
    <n v="809"/>
    <n v="2"/>
    <s v="Male"/>
    <n v="66"/>
    <n v="3"/>
    <n v="5"/>
    <x v="5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  <x v="1"/>
    <n v="165870"/>
    <x v="1"/>
    <n v="0"/>
  </r>
  <r>
    <n v="23"/>
    <x v="0"/>
    <s v="Travel_Rarely"/>
    <n v="1243"/>
    <x v="1"/>
    <n v="6"/>
    <n v="3"/>
    <s v="Life Sciences"/>
    <n v="811"/>
    <n v="3"/>
    <s v="Male"/>
    <n v="63"/>
    <n v="4"/>
    <n v="1"/>
    <x v="2"/>
    <n v="1"/>
    <s v="Married"/>
    <n v="1601"/>
    <n v="3445"/>
    <n v="1"/>
    <s v="Yes"/>
    <n v="21"/>
    <n v="4"/>
    <n v="3"/>
    <n v="2"/>
    <n v="1"/>
    <n v="2"/>
    <n v="3"/>
    <n v="0"/>
    <n v="0"/>
    <n v="0"/>
    <n v="0"/>
    <x v="2"/>
    <n v="14409"/>
    <x v="2"/>
    <n v="14409"/>
  </r>
  <r>
    <n v="24"/>
    <x v="1"/>
    <s v="Non-Travel"/>
    <n v="1092"/>
    <x v="1"/>
    <n v="9"/>
    <n v="3"/>
    <s v="Life Sciences"/>
    <n v="812"/>
    <n v="3"/>
    <s v="Male"/>
    <n v="60"/>
    <n v="2"/>
    <n v="1"/>
    <x v="2"/>
    <n v="2"/>
    <s v="Divorced"/>
    <n v="2694"/>
    <n v="26551"/>
    <n v="1"/>
    <s v="No"/>
    <n v="11"/>
    <n v="3"/>
    <n v="3"/>
    <n v="3"/>
    <n v="1"/>
    <n v="4"/>
    <n v="3"/>
    <n v="1"/>
    <n v="0"/>
    <n v="0"/>
    <n v="0"/>
    <x v="3"/>
    <n v="24246"/>
    <x v="0"/>
    <n v="0"/>
  </r>
  <r>
    <n v="52"/>
    <x v="1"/>
    <s v="Travel_Rarely"/>
    <n v="1325"/>
    <x v="1"/>
    <n v="11"/>
    <n v="4"/>
    <s v="Life Sciences"/>
    <n v="813"/>
    <n v="4"/>
    <s v="Female"/>
    <n v="82"/>
    <n v="3"/>
    <n v="2"/>
    <x v="2"/>
    <n v="3"/>
    <s v="Married"/>
    <n v="3149"/>
    <n v="21821"/>
    <n v="8"/>
    <s v="No"/>
    <n v="20"/>
    <n v="4"/>
    <n v="2"/>
    <n v="1"/>
    <n v="9"/>
    <n v="3"/>
    <n v="3"/>
    <n v="5"/>
    <n v="2"/>
    <n v="1"/>
    <n v="4"/>
    <x v="0"/>
    <n v="28341"/>
    <x v="1"/>
    <n v="0"/>
  </r>
  <r>
    <n v="50"/>
    <x v="1"/>
    <s v="Travel_Rarely"/>
    <n v="691"/>
    <x v="1"/>
    <n v="2"/>
    <n v="3"/>
    <s v="Medical"/>
    <n v="815"/>
    <n v="3"/>
    <s v="Male"/>
    <n v="64"/>
    <n v="3"/>
    <n v="4"/>
    <x v="7"/>
    <n v="3"/>
    <s v="Married"/>
    <n v="17639"/>
    <n v="6881"/>
    <n v="5"/>
    <s v="No"/>
    <n v="16"/>
    <n v="3"/>
    <n v="4"/>
    <n v="0"/>
    <n v="30"/>
    <n v="3"/>
    <n v="3"/>
    <n v="4"/>
    <n v="3"/>
    <n v="0"/>
    <n v="3"/>
    <x v="0"/>
    <n v="158751"/>
    <x v="1"/>
    <n v="0"/>
  </r>
  <r>
    <n v="29"/>
    <x v="0"/>
    <s v="Travel_Rarely"/>
    <n v="805"/>
    <x v="1"/>
    <n v="1"/>
    <n v="2"/>
    <s v="Life Sciences"/>
    <n v="816"/>
    <n v="2"/>
    <s v="Female"/>
    <n v="36"/>
    <n v="2"/>
    <n v="1"/>
    <x v="2"/>
    <n v="1"/>
    <s v="Married"/>
    <n v="2319"/>
    <n v="6689"/>
    <n v="1"/>
    <s v="Yes"/>
    <n v="11"/>
    <n v="3"/>
    <n v="4"/>
    <n v="1"/>
    <n v="1"/>
    <n v="1"/>
    <n v="3"/>
    <n v="1"/>
    <n v="0"/>
    <n v="0"/>
    <n v="0"/>
    <x v="3"/>
    <n v="20871"/>
    <x v="2"/>
    <n v="20871"/>
  </r>
  <r>
    <n v="33"/>
    <x v="1"/>
    <s v="Travel_Rarely"/>
    <n v="213"/>
    <x v="1"/>
    <n v="7"/>
    <n v="3"/>
    <s v="Medical"/>
    <n v="817"/>
    <n v="3"/>
    <s v="Male"/>
    <n v="49"/>
    <n v="3"/>
    <n v="3"/>
    <x v="7"/>
    <n v="3"/>
    <s v="Married"/>
    <n v="11691"/>
    <n v="25995"/>
    <n v="0"/>
    <s v="No"/>
    <n v="11"/>
    <n v="3"/>
    <n v="4"/>
    <n v="0"/>
    <n v="14"/>
    <n v="3"/>
    <n v="4"/>
    <n v="13"/>
    <n v="9"/>
    <n v="3"/>
    <n v="7"/>
    <x v="1"/>
    <n v="105219"/>
    <x v="1"/>
    <n v="0"/>
  </r>
  <r>
    <n v="33"/>
    <x v="0"/>
    <s v="Travel_Rarely"/>
    <n v="118"/>
    <x v="0"/>
    <n v="16"/>
    <n v="3"/>
    <s v="Marketing"/>
    <n v="819"/>
    <n v="1"/>
    <s v="Female"/>
    <n v="69"/>
    <n v="3"/>
    <n v="2"/>
    <x v="0"/>
    <n v="1"/>
    <s v="Single"/>
    <n v="5324"/>
    <n v="26507"/>
    <n v="5"/>
    <s v="No"/>
    <n v="15"/>
    <n v="3"/>
    <n v="3"/>
    <n v="0"/>
    <n v="6"/>
    <n v="3"/>
    <n v="3"/>
    <n v="3"/>
    <n v="2"/>
    <n v="0"/>
    <n v="2"/>
    <x v="3"/>
    <n v="47916"/>
    <x v="0"/>
    <n v="47916"/>
  </r>
  <r>
    <n v="47"/>
    <x v="1"/>
    <s v="Travel_Rarely"/>
    <n v="202"/>
    <x v="1"/>
    <n v="2"/>
    <n v="2"/>
    <s v="Other"/>
    <n v="820"/>
    <n v="3"/>
    <s v="Female"/>
    <n v="33"/>
    <n v="3"/>
    <n v="4"/>
    <x v="5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  <x v="1"/>
    <n v="150768"/>
    <x v="0"/>
    <n v="0"/>
  </r>
  <r>
    <n v="36"/>
    <x v="1"/>
    <s v="Travel_Rarely"/>
    <n v="676"/>
    <x v="1"/>
    <n v="1"/>
    <n v="3"/>
    <s v="Other"/>
    <n v="823"/>
    <n v="3"/>
    <s v="Female"/>
    <n v="35"/>
    <n v="3"/>
    <n v="2"/>
    <x v="3"/>
    <n v="2"/>
    <s v="Married"/>
    <n v="5228"/>
    <n v="23361"/>
    <n v="0"/>
    <s v="No"/>
    <n v="15"/>
    <n v="3"/>
    <n v="1"/>
    <n v="1"/>
    <n v="10"/>
    <n v="2"/>
    <n v="3"/>
    <n v="9"/>
    <n v="7"/>
    <n v="0"/>
    <n v="5"/>
    <x v="1"/>
    <n v="47052"/>
    <x v="0"/>
    <n v="0"/>
  </r>
  <r>
    <n v="29"/>
    <x v="1"/>
    <s v="Travel_Rarely"/>
    <n v="1252"/>
    <x v="1"/>
    <n v="23"/>
    <n v="2"/>
    <s v="Life Sciences"/>
    <n v="824"/>
    <n v="3"/>
    <s v="Male"/>
    <n v="81"/>
    <n v="4"/>
    <n v="1"/>
    <x v="1"/>
    <n v="3"/>
    <s v="Married"/>
    <n v="2700"/>
    <n v="23779"/>
    <n v="1"/>
    <s v="No"/>
    <n v="24"/>
    <n v="4"/>
    <n v="3"/>
    <n v="1"/>
    <n v="10"/>
    <n v="3"/>
    <n v="3"/>
    <n v="10"/>
    <n v="7"/>
    <n v="0"/>
    <n v="7"/>
    <x v="1"/>
    <n v="24300"/>
    <x v="1"/>
    <n v="0"/>
  </r>
  <r>
    <n v="58"/>
    <x v="0"/>
    <s v="Travel_Rarely"/>
    <n v="286"/>
    <x v="1"/>
    <n v="2"/>
    <n v="4"/>
    <s v="Life Sciences"/>
    <n v="825"/>
    <n v="4"/>
    <s v="Male"/>
    <n v="31"/>
    <n v="3"/>
    <n v="5"/>
    <x v="7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  <x v="1"/>
    <n v="173214"/>
    <x v="0"/>
    <n v="173214"/>
  </r>
  <r>
    <n v="35"/>
    <x v="1"/>
    <s v="Travel_Rarely"/>
    <n v="1258"/>
    <x v="1"/>
    <n v="1"/>
    <n v="4"/>
    <s v="Life Sciences"/>
    <n v="826"/>
    <n v="4"/>
    <s v="Female"/>
    <n v="40"/>
    <n v="4"/>
    <n v="1"/>
    <x v="1"/>
    <n v="3"/>
    <s v="Single"/>
    <n v="2506"/>
    <n v="13301"/>
    <n v="3"/>
    <s v="No"/>
    <n v="13"/>
    <n v="3"/>
    <n v="3"/>
    <n v="0"/>
    <n v="7"/>
    <n v="0"/>
    <n v="3"/>
    <n v="2"/>
    <n v="2"/>
    <n v="2"/>
    <n v="2"/>
    <x v="3"/>
    <n v="22554"/>
    <x v="1"/>
    <n v="0"/>
  </r>
  <r>
    <n v="42"/>
    <x v="1"/>
    <s v="Travel_Rarely"/>
    <n v="932"/>
    <x v="1"/>
    <n v="1"/>
    <n v="2"/>
    <s v="Life Sciences"/>
    <n v="827"/>
    <n v="4"/>
    <s v="Female"/>
    <n v="43"/>
    <n v="2"/>
    <n v="2"/>
    <x v="3"/>
    <n v="4"/>
    <s v="Married"/>
    <n v="6062"/>
    <n v="4051"/>
    <n v="9"/>
    <s v="Yes"/>
    <n v="13"/>
    <n v="3"/>
    <n v="4"/>
    <n v="1"/>
    <n v="8"/>
    <n v="4"/>
    <n v="3"/>
    <n v="4"/>
    <n v="3"/>
    <n v="0"/>
    <n v="2"/>
    <x v="0"/>
    <n v="54558"/>
    <x v="0"/>
    <n v="0"/>
  </r>
  <r>
    <n v="28"/>
    <x v="0"/>
    <s v="Travel_Rarely"/>
    <n v="890"/>
    <x v="1"/>
    <n v="2"/>
    <n v="4"/>
    <s v="Medical"/>
    <n v="828"/>
    <n v="3"/>
    <s v="Male"/>
    <n v="46"/>
    <n v="3"/>
    <n v="1"/>
    <x v="1"/>
    <n v="3"/>
    <s v="Single"/>
    <n v="4382"/>
    <n v="16374"/>
    <n v="6"/>
    <s v="No"/>
    <n v="17"/>
    <n v="3"/>
    <n v="4"/>
    <n v="0"/>
    <n v="5"/>
    <n v="3"/>
    <n v="2"/>
    <n v="2"/>
    <n v="2"/>
    <n v="2"/>
    <n v="1"/>
    <x v="3"/>
    <n v="39438"/>
    <x v="1"/>
    <n v="39438"/>
  </r>
  <r>
    <n v="36"/>
    <x v="1"/>
    <s v="Travel_Rarely"/>
    <n v="1041"/>
    <x v="2"/>
    <n v="13"/>
    <n v="3"/>
    <s v="Human Resources"/>
    <n v="829"/>
    <n v="3"/>
    <s v="Male"/>
    <n v="36"/>
    <n v="3"/>
    <n v="1"/>
    <x v="8"/>
    <n v="2"/>
    <s v="Married"/>
    <n v="2143"/>
    <n v="25527"/>
    <n v="4"/>
    <s v="No"/>
    <n v="13"/>
    <n v="3"/>
    <n v="2"/>
    <n v="1"/>
    <n v="8"/>
    <n v="2"/>
    <n v="3"/>
    <n v="5"/>
    <n v="2"/>
    <n v="0"/>
    <n v="4"/>
    <x v="0"/>
    <n v="19287"/>
    <x v="0"/>
    <n v="0"/>
  </r>
  <r>
    <n v="32"/>
    <x v="1"/>
    <s v="Travel_Rarely"/>
    <n v="859"/>
    <x v="1"/>
    <n v="4"/>
    <n v="3"/>
    <s v="Life Sciences"/>
    <n v="830"/>
    <n v="3"/>
    <s v="Female"/>
    <n v="98"/>
    <n v="2"/>
    <n v="2"/>
    <x v="3"/>
    <n v="3"/>
    <s v="Married"/>
    <n v="6162"/>
    <n v="19124"/>
    <n v="1"/>
    <s v="No"/>
    <n v="12"/>
    <n v="3"/>
    <n v="3"/>
    <n v="1"/>
    <n v="14"/>
    <n v="3"/>
    <n v="3"/>
    <n v="14"/>
    <n v="13"/>
    <n v="6"/>
    <n v="8"/>
    <x v="1"/>
    <n v="55458"/>
    <x v="1"/>
    <n v="0"/>
  </r>
  <r>
    <n v="40"/>
    <x v="1"/>
    <s v="Travel_Frequently"/>
    <n v="720"/>
    <x v="1"/>
    <n v="16"/>
    <n v="4"/>
    <s v="Medical"/>
    <n v="832"/>
    <n v="1"/>
    <s v="Male"/>
    <n v="51"/>
    <n v="2"/>
    <n v="2"/>
    <x v="2"/>
    <n v="3"/>
    <s v="Single"/>
    <n v="5094"/>
    <n v="11983"/>
    <n v="6"/>
    <s v="No"/>
    <n v="14"/>
    <n v="3"/>
    <n v="4"/>
    <n v="0"/>
    <n v="10"/>
    <n v="6"/>
    <n v="3"/>
    <n v="1"/>
    <n v="0"/>
    <n v="0"/>
    <n v="0"/>
    <x v="3"/>
    <n v="45846"/>
    <x v="1"/>
    <n v="0"/>
  </r>
  <r>
    <n v="30"/>
    <x v="1"/>
    <s v="Travel_Rarely"/>
    <n v="946"/>
    <x v="1"/>
    <n v="2"/>
    <n v="3"/>
    <s v="Medical"/>
    <n v="833"/>
    <n v="3"/>
    <s v="Female"/>
    <n v="52"/>
    <n v="2"/>
    <n v="2"/>
    <x v="3"/>
    <n v="4"/>
    <s v="Single"/>
    <n v="6877"/>
    <n v="20234"/>
    <n v="5"/>
    <s v="Yes"/>
    <n v="24"/>
    <n v="4"/>
    <n v="2"/>
    <n v="0"/>
    <n v="12"/>
    <n v="4"/>
    <n v="2"/>
    <n v="0"/>
    <n v="0"/>
    <n v="0"/>
    <n v="0"/>
    <x v="2"/>
    <n v="61893"/>
    <x v="0"/>
    <n v="0"/>
  </r>
  <r>
    <n v="45"/>
    <x v="1"/>
    <s v="Travel_Rarely"/>
    <n v="252"/>
    <x v="1"/>
    <n v="2"/>
    <n v="3"/>
    <s v="Life Sciences"/>
    <n v="834"/>
    <n v="2"/>
    <s v="Female"/>
    <n v="95"/>
    <n v="2"/>
    <n v="1"/>
    <x v="1"/>
    <n v="3"/>
    <s v="Single"/>
    <n v="2274"/>
    <n v="6153"/>
    <n v="1"/>
    <s v="No"/>
    <n v="14"/>
    <n v="3"/>
    <n v="4"/>
    <n v="0"/>
    <n v="1"/>
    <n v="3"/>
    <n v="3"/>
    <n v="1"/>
    <n v="0"/>
    <n v="0"/>
    <n v="0"/>
    <x v="3"/>
    <n v="20466"/>
    <x v="1"/>
    <n v="0"/>
  </r>
  <r>
    <n v="42"/>
    <x v="1"/>
    <s v="Travel_Rarely"/>
    <n v="933"/>
    <x v="1"/>
    <n v="29"/>
    <n v="3"/>
    <s v="Life Sciences"/>
    <n v="836"/>
    <n v="2"/>
    <s v="Male"/>
    <n v="98"/>
    <n v="3"/>
    <n v="2"/>
    <x v="3"/>
    <n v="2"/>
    <s v="Married"/>
    <n v="4434"/>
    <n v="11806"/>
    <n v="1"/>
    <s v="No"/>
    <n v="13"/>
    <n v="3"/>
    <n v="4"/>
    <n v="1"/>
    <n v="10"/>
    <n v="3"/>
    <n v="2"/>
    <n v="9"/>
    <n v="8"/>
    <n v="7"/>
    <n v="8"/>
    <x v="1"/>
    <n v="39906"/>
    <x v="0"/>
    <n v="0"/>
  </r>
  <r>
    <n v="38"/>
    <x v="1"/>
    <s v="Travel_Frequently"/>
    <n v="471"/>
    <x v="1"/>
    <n v="12"/>
    <n v="3"/>
    <s v="Life Sciences"/>
    <n v="837"/>
    <n v="1"/>
    <s v="Male"/>
    <n v="45"/>
    <n v="2"/>
    <n v="2"/>
    <x v="4"/>
    <n v="1"/>
    <s v="Divorced"/>
    <n v="6288"/>
    <n v="4284"/>
    <n v="2"/>
    <s v="No"/>
    <n v="15"/>
    <n v="3"/>
    <n v="3"/>
    <n v="1"/>
    <n v="13"/>
    <n v="3"/>
    <n v="2"/>
    <n v="4"/>
    <n v="3"/>
    <n v="1"/>
    <n v="2"/>
    <x v="0"/>
    <n v="56592"/>
    <x v="0"/>
    <n v="0"/>
  </r>
  <r>
    <n v="34"/>
    <x v="1"/>
    <s v="Travel_Frequently"/>
    <n v="702"/>
    <x v="1"/>
    <n v="16"/>
    <n v="4"/>
    <s v="Life Sciences"/>
    <n v="838"/>
    <n v="3"/>
    <s v="Female"/>
    <n v="100"/>
    <n v="2"/>
    <n v="1"/>
    <x v="1"/>
    <n v="4"/>
    <s v="Single"/>
    <n v="2553"/>
    <n v="8306"/>
    <n v="1"/>
    <s v="No"/>
    <n v="16"/>
    <n v="3"/>
    <n v="3"/>
    <n v="0"/>
    <n v="6"/>
    <n v="3"/>
    <n v="3"/>
    <n v="5"/>
    <n v="2"/>
    <n v="1"/>
    <n v="3"/>
    <x v="0"/>
    <n v="22977"/>
    <x v="1"/>
    <n v="0"/>
  </r>
  <r>
    <n v="49"/>
    <x v="0"/>
    <s v="Travel_Rarely"/>
    <n v="1184"/>
    <x v="0"/>
    <n v="11"/>
    <n v="3"/>
    <s v="Marketing"/>
    <n v="840"/>
    <n v="3"/>
    <s v="Female"/>
    <n v="43"/>
    <n v="3"/>
    <n v="3"/>
    <x v="0"/>
    <n v="4"/>
    <s v="Married"/>
    <n v="7654"/>
    <n v="5860"/>
    <n v="1"/>
    <s v="No"/>
    <n v="18"/>
    <n v="3"/>
    <n v="1"/>
    <n v="2"/>
    <n v="9"/>
    <n v="3"/>
    <n v="4"/>
    <n v="9"/>
    <n v="8"/>
    <n v="7"/>
    <n v="7"/>
    <x v="1"/>
    <n v="68886"/>
    <x v="1"/>
    <n v="68886"/>
  </r>
  <r>
    <n v="55"/>
    <x v="0"/>
    <s v="Travel_Rarely"/>
    <n v="436"/>
    <x v="0"/>
    <n v="2"/>
    <n v="1"/>
    <s v="Medical"/>
    <n v="842"/>
    <n v="3"/>
    <s v="Male"/>
    <n v="37"/>
    <n v="3"/>
    <n v="2"/>
    <x v="0"/>
    <n v="4"/>
    <s v="Single"/>
    <n v="5160"/>
    <n v="21519"/>
    <n v="4"/>
    <s v="No"/>
    <n v="16"/>
    <n v="3"/>
    <n v="3"/>
    <n v="0"/>
    <n v="12"/>
    <n v="3"/>
    <n v="2"/>
    <n v="9"/>
    <n v="7"/>
    <n v="7"/>
    <n v="3"/>
    <x v="1"/>
    <n v="46440"/>
    <x v="1"/>
    <n v="46440"/>
  </r>
  <r>
    <n v="43"/>
    <x v="1"/>
    <s v="Travel_Rarely"/>
    <n v="589"/>
    <x v="1"/>
    <n v="14"/>
    <n v="2"/>
    <s v="Life Sciences"/>
    <n v="843"/>
    <n v="2"/>
    <s v="Male"/>
    <n v="94"/>
    <n v="3"/>
    <n v="4"/>
    <x v="7"/>
    <n v="1"/>
    <s v="Married"/>
    <n v="17159"/>
    <n v="5200"/>
    <n v="6"/>
    <s v="No"/>
    <n v="24"/>
    <n v="4"/>
    <n v="3"/>
    <n v="1"/>
    <n v="22"/>
    <n v="3"/>
    <n v="3"/>
    <n v="4"/>
    <n v="1"/>
    <n v="1"/>
    <n v="0"/>
    <x v="0"/>
    <n v="154431"/>
    <x v="0"/>
    <n v="0"/>
  </r>
  <r>
    <n v="27"/>
    <x v="1"/>
    <s v="Travel_Rarely"/>
    <n v="269"/>
    <x v="1"/>
    <n v="5"/>
    <n v="1"/>
    <s v="Technical Degree"/>
    <n v="844"/>
    <n v="3"/>
    <s v="Male"/>
    <n v="42"/>
    <n v="2"/>
    <n v="3"/>
    <x v="7"/>
    <n v="4"/>
    <s v="Divorced"/>
    <n v="12808"/>
    <n v="8842"/>
    <n v="1"/>
    <s v="Yes"/>
    <n v="16"/>
    <n v="3"/>
    <n v="2"/>
    <n v="1"/>
    <n v="9"/>
    <n v="3"/>
    <n v="3"/>
    <n v="9"/>
    <n v="8"/>
    <n v="0"/>
    <n v="8"/>
    <x v="1"/>
    <n v="115272"/>
    <x v="0"/>
    <n v="0"/>
  </r>
  <r>
    <n v="35"/>
    <x v="1"/>
    <s v="Travel_Rarely"/>
    <n v="950"/>
    <x v="1"/>
    <n v="7"/>
    <n v="3"/>
    <s v="Other"/>
    <n v="845"/>
    <n v="3"/>
    <s v="Male"/>
    <n v="59"/>
    <n v="3"/>
    <n v="3"/>
    <x v="3"/>
    <n v="3"/>
    <s v="Single"/>
    <n v="10221"/>
    <n v="18869"/>
    <n v="3"/>
    <s v="No"/>
    <n v="21"/>
    <n v="4"/>
    <n v="2"/>
    <n v="0"/>
    <n v="17"/>
    <n v="3"/>
    <n v="4"/>
    <n v="8"/>
    <n v="5"/>
    <n v="1"/>
    <n v="6"/>
    <x v="1"/>
    <n v="91989"/>
    <x v="1"/>
    <n v="0"/>
  </r>
  <r>
    <n v="28"/>
    <x v="1"/>
    <s v="Travel_Rarely"/>
    <n v="760"/>
    <x v="0"/>
    <n v="2"/>
    <n v="4"/>
    <s v="Marketing"/>
    <n v="846"/>
    <n v="2"/>
    <s v="Female"/>
    <n v="81"/>
    <n v="3"/>
    <n v="2"/>
    <x v="0"/>
    <n v="2"/>
    <s v="Married"/>
    <n v="4779"/>
    <n v="3698"/>
    <n v="1"/>
    <s v="Yes"/>
    <n v="20"/>
    <n v="4"/>
    <n v="1"/>
    <n v="0"/>
    <n v="8"/>
    <n v="2"/>
    <n v="3"/>
    <n v="8"/>
    <n v="7"/>
    <n v="7"/>
    <n v="5"/>
    <x v="1"/>
    <n v="43011"/>
    <x v="0"/>
    <n v="0"/>
  </r>
  <r>
    <n v="34"/>
    <x v="1"/>
    <s v="Travel_Rarely"/>
    <n v="829"/>
    <x v="2"/>
    <n v="3"/>
    <n v="2"/>
    <s v="Human Resources"/>
    <n v="847"/>
    <n v="3"/>
    <s v="Male"/>
    <n v="88"/>
    <n v="3"/>
    <n v="1"/>
    <x v="8"/>
    <n v="4"/>
    <s v="Married"/>
    <n v="3737"/>
    <n v="2243"/>
    <n v="0"/>
    <s v="No"/>
    <n v="19"/>
    <n v="3"/>
    <n v="3"/>
    <n v="1"/>
    <n v="4"/>
    <n v="1"/>
    <n v="1"/>
    <n v="3"/>
    <n v="2"/>
    <n v="0"/>
    <n v="2"/>
    <x v="3"/>
    <n v="33633"/>
    <x v="1"/>
    <n v="0"/>
  </r>
  <r>
    <n v="26"/>
    <x v="0"/>
    <s v="Travel_Frequently"/>
    <n v="887"/>
    <x v="1"/>
    <n v="5"/>
    <n v="2"/>
    <s v="Medical"/>
    <n v="848"/>
    <n v="3"/>
    <s v="Female"/>
    <n v="88"/>
    <n v="2"/>
    <n v="1"/>
    <x v="1"/>
    <n v="3"/>
    <s v="Married"/>
    <n v="2366"/>
    <n v="20898"/>
    <n v="1"/>
    <s v="Yes"/>
    <n v="14"/>
    <n v="3"/>
    <n v="1"/>
    <n v="1"/>
    <n v="8"/>
    <n v="2"/>
    <n v="3"/>
    <n v="8"/>
    <n v="7"/>
    <n v="1"/>
    <n v="7"/>
    <x v="1"/>
    <n v="21294"/>
    <x v="0"/>
    <n v="21294"/>
  </r>
  <r>
    <n v="27"/>
    <x v="1"/>
    <s v="Non-Travel"/>
    <n v="443"/>
    <x v="1"/>
    <n v="3"/>
    <n v="3"/>
    <s v="Medical"/>
    <n v="850"/>
    <n v="4"/>
    <s v="Male"/>
    <n v="50"/>
    <n v="3"/>
    <n v="1"/>
    <x v="1"/>
    <n v="4"/>
    <s v="Married"/>
    <n v="1706"/>
    <n v="16571"/>
    <n v="1"/>
    <s v="No"/>
    <n v="11"/>
    <n v="3"/>
    <n v="3"/>
    <n v="3"/>
    <n v="0"/>
    <n v="6"/>
    <n v="2"/>
    <n v="0"/>
    <n v="0"/>
    <n v="0"/>
    <n v="0"/>
    <x v="2"/>
    <n v="15354"/>
    <x v="1"/>
    <n v="0"/>
  </r>
  <r>
    <n v="51"/>
    <x v="1"/>
    <s v="Travel_Rarely"/>
    <n v="1318"/>
    <x v="0"/>
    <n v="26"/>
    <n v="4"/>
    <s v="Marketing"/>
    <n v="851"/>
    <n v="1"/>
    <s v="Female"/>
    <n v="66"/>
    <n v="3"/>
    <n v="4"/>
    <x v="5"/>
    <n v="3"/>
    <s v="Married"/>
    <n v="16307"/>
    <n v="5594"/>
    <n v="2"/>
    <s v="No"/>
    <n v="14"/>
    <n v="3"/>
    <n v="3"/>
    <n v="1"/>
    <n v="29"/>
    <n v="2"/>
    <n v="2"/>
    <n v="20"/>
    <n v="6"/>
    <n v="4"/>
    <n v="17"/>
    <x v="1"/>
    <n v="146763"/>
    <x v="1"/>
    <n v="0"/>
  </r>
  <r>
    <n v="44"/>
    <x v="1"/>
    <s v="Travel_Rarely"/>
    <n v="625"/>
    <x v="1"/>
    <n v="4"/>
    <n v="3"/>
    <s v="Medical"/>
    <n v="852"/>
    <n v="4"/>
    <s v="Male"/>
    <n v="50"/>
    <n v="3"/>
    <n v="2"/>
    <x v="4"/>
    <n v="2"/>
    <s v="Single"/>
    <n v="5933"/>
    <n v="5197"/>
    <n v="9"/>
    <s v="No"/>
    <n v="12"/>
    <n v="3"/>
    <n v="4"/>
    <n v="0"/>
    <n v="10"/>
    <n v="2"/>
    <n v="2"/>
    <n v="5"/>
    <n v="2"/>
    <n v="2"/>
    <n v="3"/>
    <x v="0"/>
    <n v="53397"/>
    <x v="0"/>
    <n v="0"/>
  </r>
  <r>
    <n v="25"/>
    <x v="1"/>
    <s v="Travel_Rarely"/>
    <n v="180"/>
    <x v="1"/>
    <n v="2"/>
    <n v="1"/>
    <s v="Medical"/>
    <n v="854"/>
    <n v="1"/>
    <s v="Male"/>
    <n v="65"/>
    <n v="4"/>
    <n v="1"/>
    <x v="1"/>
    <n v="1"/>
    <s v="Single"/>
    <n v="3424"/>
    <n v="21632"/>
    <n v="7"/>
    <s v="No"/>
    <n v="13"/>
    <n v="3"/>
    <n v="3"/>
    <n v="0"/>
    <n v="6"/>
    <n v="3"/>
    <n v="2"/>
    <n v="4"/>
    <n v="3"/>
    <n v="0"/>
    <n v="1"/>
    <x v="0"/>
    <n v="30816"/>
    <x v="0"/>
    <n v="0"/>
  </r>
  <r>
    <n v="33"/>
    <x v="1"/>
    <s v="Travel_Rarely"/>
    <n v="586"/>
    <x v="0"/>
    <n v="1"/>
    <n v="3"/>
    <s v="Medical"/>
    <n v="855"/>
    <n v="1"/>
    <s v="Male"/>
    <n v="48"/>
    <n v="4"/>
    <n v="2"/>
    <x v="0"/>
    <n v="1"/>
    <s v="Divorced"/>
    <n v="4037"/>
    <n v="21816"/>
    <n v="1"/>
    <s v="No"/>
    <n v="22"/>
    <n v="4"/>
    <n v="1"/>
    <n v="1"/>
    <n v="9"/>
    <n v="5"/>
    <n v="3"/>
    <n v="9"/>
    <n v="8"/>
    <n v="0"/>
    <n v="8"/>
    <x v="1"/>
    <n v="36333"/>
    <x v="0"/>
    <n v="0"/>
  </r>
  <r>
    <n v="35"/>
    <x v="1"/>
    <s v="Travel_Rarely"/>
    <n v="1343"/>
    <x v="1"/>
    <n v="27"/>
    <n v="1"/>
    <s v="Medical"/>
    <n v="856"/>
    <n v="3"/>
    <s v="Female"/>
    <n v="53"/>
    <n v="2"/>
    <n v="1"/>
    <x v="1"/>
    <n v="1"/>
    <s v="Single"/>
    <n v="2559"/>
    <n v="17852"/>
    <n v="1"/>
    <s v="No"/>
    <n v="11"/>
    <n v="3"/>
    <n v="4"/>
    <n v="0"/>
    <n v="6"/>
    <n v="3"/>
    <n v="2"/>
    <n v="6"/>
    <n v="5"/>
    <n v="1"/>
    <n v="1"/>
    <x v="0"/>
    <n v="23031"/>
    <x v="0"/>
    <n v="0"/>
  </r>
  <r>
    <n v="36"/>
    <x v="1"/>
    <s v="Travel_Rarely"/>
    <n v="928"/>
    <x v="0"/>
    <n v="1"/>
    <n v="2"/>
    <s v="Life Sciences"/>
    <n v="857"/>
    <n v="2"/>
    <s v="Male"/>
    <n v="56"/>
    <n v="3"/>
    <n v="2"/>
    <x v="0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  <x v="1"/>
    <n v="55809"/>
    <x v="0"/>
    <n v="0"/>
  </r>
  <r>
    <n v="32"/>
    <x v="1"/>
    <s v="Travel_Rarely"/>
    <n v="117"/>
    <x v="0"/>
    <n v="13"/>
    <n v="4"/>
    <s v="Life Sciences"/>
    <n v="859"/>
    <n v="2"/>
    <s v="Male"/>
    <n v="73"/>
    <n v="3"/>
    <n v="2"/>
    <x v="0"/>
    <n v="4"/>
    <s v="Divorced"/>
    <n v="4403"/>
    <n v="9250"/>
    <n v="2"/>
    <s v="No"/>
    <n v="11"/>
    <n v="3"/>
    <n v="3"/>
    <n v="1"/>
    <n v="8"/>
    <n v="3"/>
    <n v="2"/>
    <n v="5"/>
    <n v="2"/>
    <n v="0"/>
    <n v="3"/>
    <x v="0"/>
    <n v="39627"/>
    <x v="1"/>
    <n v="0"/>
  </r>
  <r>
    <n v="30"/>
    <x v="1"/>
    <s v="Travel_Frequently"/>
    <n v="1012"/>
    <x v="1"/>
    <n v="5"/>
    <n v="4"/>
    <s v="Life Sciences"/>
    <n v="861"/>
    <n v="2"/>
    <s v="Male"/>
    <n v="75"/>
    <n v="2"/>
    <n v="1"/>
    <x v="1"/>
    <n v="4"/>
    <s v="Divorced"/>
    <n v="3761"/>
    <n v="2373"/>
    <n v="9"/>
    <s v="No"/>
    <n v="12"/>
    <n v="3"/>
    <n v="2"/>
    <n v="1"/>
    <n v="10"/>
    <n v="3"/>
    <n v="2"/>
    <n v="5"/>
    <n v="4"/>
    <n v="0"/>
    <n v="3"/>
    <x v="0"/>
    <n v="33849"/>
    <x v="1"/>
    <n v="0"/>
  </r>
  <r>
    <n v="53"/>
    <x v="1"/>
    <s v="Travel_Rarely"/>
    <n v="661"/>
    <x v="0"/>
    <n v="7"/>
    <n v="2"/>
    <s v="Marketing"/>
    <n v="862"/>
    <n v="1"/>
    <s v="Female"/>
    <n v="78"/>
    <n v="2"/>
    <n v="3"/>
    <x v="0"/>
    <n v="4"/>
    <s v="Married"/>
    <n v="10934"/>
    <n v="20715"/>
    <n v="7"/>
    <s v="Yes"/>
    <n v="18"/>
    <n v="3"/>
    <n v="4"/>
    <n v="1"/>
    <n v="35"/>
    <n v="3"/>
    <n v="3"/>
    <n v="5"/>
    <n v="2"/>
    <n v="0"/>
    <n v="4"/>
    <x v="0"/>
    <n v="98406"/>
    <x v="0"/>
    <n v="0"/>
  </r>
  <r>
    <n v="45"/>
    <x v="1"/>
    <s v="Travel_Rarely"/>
    <n v="930"/>
    <x v="0"/>
    <n v="9"/>
    <n v="3"/>
    <s v="Marketing"/>
    <n v="864"/>
    <n v="4"/>
    <s v="Male"/>
    <n v="74"/>
    <n v="3"/>
    <n v="3"/>
    <x v="0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  <x v="0"/>
    <n v="96849"/>
    <x v="0"/>
    <n v="0"/>
  </r>
  <r>
    <n v="32"/>
    <x v="1"/>
    <s v="Travel_Rarely"/>
    <n v="638"/>
    <x v="1"/>
    <n v="8"/>
    <n v="2"/>
    <s v="Medical"/>
    <n v="865"/>
    <n v="3"/>
    <s v="Female"/>
    <n v="91"/>
    <n v="4"/>
    <n v="2"/>
    <x v="1"/>
    <n v="3"/>
    <s v="Married"/>
    <n v="5175"/>
    <n v="22162"/>
    <n v="5"/>
    <s v="No"/>
    <n v="12"/>
    <n v="3"/>
    <n v="3"/>
    <n v="1"/>
    <n v="9"/>
    <n v="3"/>
    <n v="2"/>
    <n v="5"/>
    <n v="3"/>
    <n v="1"/>
    <n v="3"/>
    <x v="0"/>
    <n v="46575"/>
    <x v="1"/>
    <n v="0"/>
  </r>
  <r>
    <n v="52"/>
    <x v="1"/>
    <s v="Travel_Frequently"/>
    <n v="890"/>
    <x v="1"/>
    <n v="25"/>
    <n v="4"/>
    <s v="Medical"/>
    <n v="867"/>
    <n v="3"/>
    <s v="Female"/>
    <n v="81"/>
    <n v="2"/>
    <n v="4"/>
    <x v="3"/>
    <n v="4"/>
    <s v="Married"/>
    <n v="13826"/>
    <n v="19028"/>
    <n v="3"/>
    <s v="No"/>
    <n v="22"/>
    <n v="4"/>
    <n v="3"/>
    <n v="0"/>
    <n v="31"/>
    <n v="3"/>
    <n v="3"/>
    <n v="9"/>
    <n v="8"/>
    <n v="0"/>
    <n v="0"/>
    <x v="1"/>
    <n v="124434"/>
    <x v="1"/>
    <n v="0"/>
  </r>
  <r>
    <n v="37"/>
    <x v="1"/>
    <s v="Travel_Rarely"/>
    <n v="342"/>
    <x v="0"/>
    <n v="16"/>
    <n v="4"/>
    <s v="Marketing"/>
    <n v="868"/>
    <n v="4"/>
    <s v="Male"/>
    <n v="66"/>
    <n v="2"/>
    <n v="2"/>
    <x v="0"/>
    <n v="3"/>
    <s v="Divorced"/>
    <n v="6334"/>
    <n v="24558"/>
    <n v="4"/>
    <s v="No"/>
    <n v="19"/>
    <n v="3"/>
    <n v="4"/>
    <n v="2"/>
    <n v="9"/>
    <n v="2"/>
    <n v="3"/>
    <n v="1"/>
    <n v="0"/>
    <n v="0"/>
    <n v="0"/>
    <x v="3"/>
    <n v="57006"/>
    <x v="1"/>
    <n v="0"/>
  </r>
  <r>
    <n v="28"/>
    <x v="1"/>
    <s v="Travel_Rarely"/>
    <n v="1169"/>
    <x v="2"/>
    <n v="8"/>
    <n v="2"/>
    <s v="Medical"/>
    <n v="869"/>
    <n v="2"/>
    <s v="Male"/>
    <n v="63"/>
    <n v="2"/>
    <n v="1"/>
    <x v="8"/>
    <n v="4"/>
    <s v="Divorced"/>
    <n v="4936"/>
    <n v="23965"/>
    <n v="1"/>
    <s v="No"/>
    <n v="13"/>
    <n v="3"/>
    <n v="4"/>
    <n v="1"/>
    <n v="6"/>
    <n v="6"/>
    <n v="3"/>
    <n v="5"/>
    <n v="1"/>
    <n v="0"/>
    <n v="4"/>
    <x v="0"/>
    <n v="44424"/>
    <x v="1"/>
    <n v="0"/>
  </r>
  <r>
    <n v="22"/>
    <x v="1"/>
    <s v="Travel_Rarely"/>
    <n v="1230"/>
    <x v="1"/>
    <n v="1"/>
    <n v="2"/>
    <s v="Life Sciences"/>
    <n v="872"/>
    <n v="4"/>
    <s v="Male"/>
    <n v="33"/>
    <n v="2"/>
    <n v="2"/>
    <x v="3"/>
    <n v="4"/>
    <s v="Married"/>
    <n v="4775"/>
    <n v="19146"/>
    <n v="6"/>
    <s v="No"/>
    <n v="22"/>
    <n v="4"/>
    <n v="1"/>
    <n v="2"/>
    <n v="4"/>
    <n v="2"/>
    <n v="1"/>
    <n v="2"/>
    <n v="2"/>
    <n v="2"/>
    <n v="2"/>
    <x v="3"/>
    <n v="42975"/>
    <x v="1"/>
    <n v="0"/>
  </r>
  <r>
    <n v="44"/>
    <x v="1"/>
    <s v="Travel_Rarely"/>
    <n v="986"/>
    <x v="1"/>
    <n v="8"/>
    <n v="4"/>
    <s v="Life Sciences"/>
    <n v="874"/>
    <n v="1"/>
    <s v="Male"/>
    <n v="62"/>
    <n v="4"/>
    <n v="1"/>
    <x v="2"/>
    <n v="4"/>
    <s v="Married"/>
    <n v="2818"/>
    <n v="5044"/>
    <n v="2"/>
    <s v="Yes"/>
    <n v="24"/>
    <n v="4"/>
    <n v="3"/>
    <n v="1"/>
    <n v="10"/>
    <n v="2"/>
    <n v="2"/>
    <n v="3"/>
    <n v="2"/>
    <n v="0"/>
    <n v="2"/>
    <x v="3"/>
    <n v="25362"/>
    <x v="0"/>
    <n v="0"/>
  </r>
  <r>
    <n v="42"/>
    <x v="1"/>
    <s v="Travel_Frequently"/>
    <n v="1271"/>
    <x v="1"/>
    <n v="2"/>
    <n v="1"/>
    <s v="Medical"/>
    <n v="875"/>
    <n v="2"/>
    <s v="Male"/>
    <n v="35"/>
    <n v="3"/>
    <n v="1"/>
    <x v="1"/>
    <n v="4"/>
    <s v="Single"/>
    <n v="2515"/>
    <n v="9068"/>
    <n v="5"/>
    <s v="Yes"/>
    <n v="14"/>
    <n v="3"/>
    <n v="4"/>
    <n v="0"/>
    <n v="8"/>
    <n v="2"/>
    <n v="3"/>
    <n v="2"/>
    <n v="1"/>
    <n v="2"/>
    <n v="2"/>
    <x v="3"/>
    <n v="22635"/>
    <x v="0"/>
    <n v="0"/>
  </r>
  <r>
    <n v="36"/>
    <x v="1"/>
    <s v="Travel_Rarely"/>
    <n v="1278"/>
    <x v="2"/>
    <n v="8"/>
    <n v="3"/>
    <s v="Life Sciences"/>
    <n v="878"/>
    <n v="1"/>
    <s v="Male"/>
    <n v="77"/>
    <n v="2"/>
    <n v="1"/>
    <x v="8"/>
    <n v="1"/>
    <s v="Married"/>
    <n v="2342"/>
    <n v="8635"/>
    <n v="0"/>
    <s v="No"/>
    <n v="21"/>
    <n v="4"/>
    <n v="3"/>
    <n v="0"/>
    <n v="6"/>
    <n v="3"/>
    <n v="3"/>
    <n v="5"/>
    <n v="4"/>
    <n v="0"/>
    <n v="3"/>
    <x v="0"/>
    <n v="21078"/>
    <x v="0"/>
    <n v="0"/>
  </r>
  <r>
    <n v="25"/>
    <x v="1"/>
    <s v="Travel_Rarely"/>
    <n v="141"/>
    <x v="0"/>
    <n v="3"/>
    <n v="1"/>
    <s v="Other"/>
    <n v="879"/>
    <n v="3"/>
    <s v="Male"/>
    <n v="98"/>
    <n v="3"/>
    <n v="2"/>
    <x v="0"/>
    <n v="1"/>
    <s v="Married"/>
    <n v="4194"/>
    <n v="14363"/>
    <n v="1"/>
    <s v="Yes"/>
    <n v="18"/>
    <n v="3"/>
    <n v="4"/>
    <n v="0"/>
    <n v="5"/>
    <n v="3"/>
    <n v="3"/>
    <n v="5"/>
    <n v="3"/>
    <n v="0"/>
    <n v="3"/>
    <x v="0"/>
    <n v="37746"/>
    <x v="0"/>
    <n v="0"/>
  </r>
  <r>
    <n v="35"/>
    <x v="1"/>
    <s v="Travel_Rarely"/>
    <n v="607"/>
    <x v="1"/>
    <n v="9"/>
    <n v="3"/>
    <s v="Life Sciences"/>
    <n v="880"/>
    <n v="4"/>
    <s v="Female"/>
    <n v="66"/>
    <n v="2"/>
    <n v="3"/>
    <x v="3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  <x v="1"/>
    <n v="96165"/>
    <x v="0"/>
    <n v="0"/>
  </r>
  <r>
    <n v="35"/>
    <x v="0"/>
    <s v="Travel_Frequently"/>
    <n v="130"/>
    <x v="1"/>
    <n v="25"/>
    <n v="4"/>
    <s v="Life Sciences"/>
    <n v="881"/>
    <n v="4"/>
    <s v="Female"/>
    <n v="96"/>
    <n v="3"/>
    <n v="1"/>
    <x v="1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  <x v="1"/>
    <n v="18198"/>
    <x v="0"/>
    <n v="18198"/>
  </r>
  <r>
    <n v="32"/>
    <x v="1"/>
    <s v="Non-Travel"/>
    <n v="300"/>
    <x v="1"/>
    <n v="1"/>
    <n v="3"/>
    <s v="Life Sciences"/>
    <n v="882"/>
    <n v="4"/>
    <s v="Male"/>
    <n v="61"/>
    <n v="3"/>
    <n v="1"/>
    <x v="2"/>
    <n v="4"/>
    <s v="Divorced"/>
    <n v="2314"/>
    <n v="9148"/>
    <n v="0"/>
    <s v="No"/>
    <n v="12"/>
    <n v="3"/>
    <n v="2"/>
    <n v="1"/>
    <n v="4"/>
    <n v="2"/>
    <n v="3"/>
    <n v="3"/>
    <n v="0"/>
    <n v="0"/>
    <n v="2"/>
    <x v="3"/>
    <n v="20826"/>
    <x v="1"/>
    <n v="0"/>
  </r>
  <r>
    <n v="25"/>
    <x v="1"/>
    <s v="Travel_Rarely"/>
    <n v="583"/>
    <x v="0"/>
    <n v="4"/>
    <n v="1"/>
    <s v="Marketing"/>
    <n v="885"/>
    <n v="3"/>
    <s v="Male"/>
    <n v="87"/>
    <n v="2"/>
    <n v="2"/>
    <x v="0"/>
    <n v="1"/>
    <s v="Married"/>
    <n v="4256"/>
    <n v="18154"/>
    <n v="1"/>
    <s v="No"/>
    <n v="12"/>
    <n v="3"/>
    <n v="1"/>
    <n v="0"/>
    <n v="5"/>
    <n v="1"/>
    <n v="4"/>
    <n v="5"/>
    <n v="2"/>
    <n v="0"/>
    <n v="3"/>
    <x v="0"/>
    <n v="38304"/>
    <x v="0"/>
    <n v="0"/>
  </r>
  <r>
    <n v="49"/>
    <x v="1"/>
    <s v="Travel_Rarely"/>
    <n v="1418"/>
    <x v="1"/>
    <n v="1"/>
    <n v="3"/>
    <s v="Technical Degree"/>
    <n v="887"/>
    <n v="3"/>
    <s v="Female"/>
    <n v="36"/>
    <n v="3"/>
    <n v="1"/>
    <x v="1"/>
    <n v="1"/>
    <s v="Married"/>
    <n v="3580"/>
    <n v="10554"/>
    <n v="2"/>
    <s v="No"/>
    <n v="16"/>
    <n v="3"/>
    <n v="2"/>
    <n v="1"/>
    <n v="7"/>
    <n v="2"/>
    <n v="3"/>
    <n v="4"/>
    <n v="2"/>
    <n v="0"/>
    <n v="2"/>
    <x v="0"/>
    <n v="32220"/>
    <x v="0"/>
    <n v="0"/>
  </r>
  <r>
    <n v="24"/>
    <x v="1"/>
    <s v="Non-Travel"/>
    <n v="1269"/>
    <x v="1"/>
    <n v="4"/>
    <n v="1"/>
    <s v="Life Sciences"/>
    <n v="888"/>
    <n v="1"/>
    <s v="Male"/>
    <n v="46"/>
    <n v="2"/>
    <n v="1"/>
    <x v="2"/>
    <n v="4"/>
    <s v="Married"/>
    <n v="3162"/>
    <n v="10778"/>
    <n v="0"/>
    <s v="No"/>
    <n v="17"/>
    <n v="3"/>
    <n v="4"/>
    <n v="0"/>
    <n v="6"/>
    <n v="2"/>
    <n v="2"/>
    <n v="5"/>
    <n v="2"/>
    <n v="3"/>
    <n v="4"/>
    <x v="0"/>
    <n v="28458"/>
    <x v="1"/>
    <n v="0"/>
  </r>
  <r>
    <n v="32"/>
    <x v="1"/>
    <s v="Travel_Frequently"/>
    <n v="379"/>
    <x v="0"/>
    <n v="5"/>
    <n v="2"/>
    <s v="Life Sciences"/>
    <n v="889"/>
    <n v="2"/>
    <s v="Male"/>
    <n v="48"/>
    <n v="3"/>
    <n v="2"/>
    <x v="0"/>
    <n v="2"/>
    <s v="Married"/>
    <n v="6524"/>
    <n v="8891"/>
    <n v="1"/>
    <s v="No"/>
    <n v="14"/>
    <n v="3"/>
    <n v="4"/>
    <n v="1"/>
    <n v="10"/>
    <n v="3"/>
    <n v="3"/>
    <n v="10"/>
    <n v="8"/>
    <n v="5"/>
    <n v="3"/>
    <x v="1"/>
    <n v="58716"/>
    <x v="0"/>
    <n v="0"/>
  </r>
  <r>
    <n v="38"/>
    <x v="1"/>
    <s v="Travel_Rarely"/>
    <n v="395"/>
    <x v="0"/>
    <n v="9"/>
    <n v="3"/>
    <s v="Marketing"/>
    <n v="893"/>
    <n v="2"/>
    <s v="Male"/>
    <n v="98"/>
    <n v="2"/>
    <n v="1"/>
    <x v="6"/>
    <n v="2"/>
    <s v="Married"/>
    <n v="2899"/>
    <n v="12102"/>
    <n v="0"/>
    <s v="No"/>
    <n v="19"/>
    <n v="3"/>
    <n v="4"/>
    <n v="1"/>
    <n v="3"/>
    <n v="3"/>
    <n v="3"/>
    <n v="2"/>
    <n v="2"/>
    <n v="1"/>
    <n v="2"/>
    <x v="3"/>
    <n v="26091"/>
    <x v="0"/>
    <n v="0"/>
  </r>
  <r>
    <n v="42"/>
    <x v="1"/>
    <s v="Travel_Rarely"/>
    <n v="1265"/>
    <x v="1"/>
    <n v="3"/>
    <n v="3"/>
    <s v="Life Sciences"/>
    <n v="894"/>
    <n v="3"/>
    <s v="Female"/>
    <n v="95"/>
    <n v="4"/>
    <n v="2"/>
    <x v="2"/>
    <n v="4"/>
    <s v="Married"/>
    <n v="5231"/>
    <n v="23726"/>
    <n v="2"/>
    <s v="Yes"/>
    <n v="13"/>
    <n v="3"/>
    <n v="2"/>
    <n v="1"/>
    <n v="17"/>
    <n v="1"/>
    <n v="2"/>
    <n v="5"/>
    <n v="3"/>
    <n v="1"/>
    <n v="3"/>
    <x v="0"/>
    <n v="47079"/>
    <x v="0"/>
    <n v="0"/>
  </r>
  <r>
    <n v="31"/>
    <x v="1"/>
    <s v="Travel_Rarely"/>
    <n v="1222"/>
    <x v="1"/>
    <n v="11"/>
    <n v="4"/>
    <s v="Life Sciences"/>
    <n v="895"/>
    <n v="4"/>
    <s v="Male"/>
    <n v="48"/>
    <n v="3"/>
    <n v="1"/>
    <x v="1"/>
    <n v="4"/>
    <s v="Married"/>
    <n v="2356"/>
    <n v="14871"/>
    <n v="3"/>
    <s v="Yes"/>
    <n v="19"/>
    <n v="3"/>
    <n v="2"/>
    <n v="1"/>
    <n v="8"/>
    <n v="2"/>
    <n v="3"/>
    <n v="6"/>
    <n v="4"/>
    <n v="0"/>
    <n v="2"/>
    <x v="0"/>
    <n v="21204"/>
    <x v="0"/>
    <n v="0"/>
  </r>
  <r>
    <n v="29"/>
    <x v="0"/>
    <s v="Travel_Rarely"/>
    <n v="341"/>
    <x v="0"/>
    <n v="1"/>
    <n v="3"/>
    <s v="Medical"/>
    <n v="896"/>
    <n v="2"/>
    <s v="Female"/>
    <n v="48"/>
    <n v="2"/>
    <n v="1"/>
    <x v="6"/>
    <n v="3"/>
    <s v="Divorced"/>
    <n v="2800"/>
    <n v="23522"/>
    <n v="6"/>
    <s v="Yes"/>
    <n v="19"/>
    <n v="3"/>
    <n v="3"/>
    <n v="3"/>
    <n v="5"/>
    <n v="3"/>
    <n v="3"/>
    <n v="3"/>
    <n v="2"/>
    <n v="0"/>
    <n v="2"/>
    <x v="3"/>
    <n v="25200"/>
    <x v="0"/>
    <n v="25200"/>
  </r>
  <r>
    <n v="53"/>
    <x v="1"/>
    <s v="Travel_Rarely"/>
    <n v="868"/>
    <x v="0"/>
    <n v="8"/>
    <n v="3"/>
    <s v="Marketing"/>
    <n v="897"/>
    <n v="1"/>
    <s v="Male"/>
    <n v="73"/>
    <n v="3"/>
    <n v="4"/>
    <x v="0"/>
    <n v="4"/>
    <s v="Married"/>
    <n v="11836"/>
    <n v="22789"/>
    <n v="5"/>
    <s v="No"/>
    <n v="14"/>
    <n v="3"/>
    <n v="3"/>
    <n v="1"/>
    <n v="28"/>
    <n v="3"/>
    <n v="3"/>
    <n v="2"/>
    <n v="0"/>
    <n v="2"/>
    <n v="2"/>
    <x v="3"/>
    <n v="106524"/>
    <x v="1"/>
    <n v="0"/>
  </r>
  <r>
    <n v="35"/>
    <x v="1"/>
    <s v="Travel_Rarely"/>
    <n v="672"/>
    <x v="1"/>
    <n v="25"/>
    <n v="3"/>
    <s v="Technical Degree"/>
    <n v="899"/>
    <n v="4"/>
    <s v="Male"/>
    <n v="78"/>
    <n v="2"/>
    <n v="3"/>
    <x v="3"/>
    <n v="2"/>
    <s v="Married"/>
    <n v="10903"/>
    <n v="9129"/>
    <n v="3"/>
    <s v="No"/>
    <n v="16"/>
    <n v="3"/>
    <n v="1"/>
    <n v="0"/>
    <n v="16"/>
    <n v="2"/>
    <n v="3"/>
    <n v="13"/>
    <n v="10"/>
    <n v="4"/>
    <n v="8"/>
    <x v="1"/>
    <n v="98127"/>
    <x v="0"/>
    <n v="0"/>
  </r>
  <r>
    <n v="37"/>
    <x v="1"/>
    <s v="Travel_Frequently"/>
    <n v="1231"/>
    <x v="0"/>
    <n v="21"/>
    <n v="2"/>
    <s v="Medical"/>
    <n v="900"/>
    <n v="3"/>
    <s v="Female"/>
    <n v="54"/>
    <n v="3"/>
    <n v="1"/>
    <x v="6"/>
    <n v="4"/>
    <s v="Married"/>
    <n v="2973"/>
    <n v="21222"/>
    <n v="5"/>
    <s v="No"/>
    <n v="15"/>
    <n v="3"/>
    <n v="2"/>
    <n v="1"/>
    <n v="10"/>
    <n v="3"/>
    <n v="3"/>
    <n v="5"/>
    <n v="4"/>
    <n v="0"/>
    <n v="0"/>
    <x v="0"/>
    <n v="26757"/>
    <x v="1"/>
    <n v="0"/>
  </r>
  <r>
    <n v="53"/>
    <x v="1"/>
    <s v="Travel_Rarely"/>
    <n v="102"/>
    <x v="1"/>
    <n v="23"/>
    <n v="4"/>
    <s v="Life Sciences"/>
    <n v="901"/>
    <n v="4"/>
    <s v="Female"/>
    <n v="72"/>
    <n v="3"/>
    <n v="4"/>
    <x v="7"/>
    <n v="4"/>
    <s v="Single"/>
    <n v="14275"/>
    <n v="20206"/>
    <n v="6"/>
    <s v="No"/>
    <n v="18"/>
    <n v="3"/>
    <n v="3"/>
    <n v="0"/>
    <n v="33"/>
    <n v="0"/>
    <n v="3"/>
    <n v="12"/>
    <n v="9"/>
    <n v="3"/>
    <n v="8"/>
    <x v="1"/>
    <n v="128475"/>
    <x v="1"/>
    <n v="0"/>
  </r>
  <r>
    <n v="43"/>
    <x v="1"/>
    <s v="Travel_Frequently"/>
    <n v="422"/>
    <x v="1"/>
    <n v="1"/>
    <n v="3"/>
    <s v="Life Sciences"/>
    <n v="902"/>
    <n v="4"/>
    <s v="Female"/>
    <n v="33"/>
    <n v="3"/>
    <n v="2"/>
    <x v="4"/>
    <n v="4"/>
    <s v="Married"/>
    <n v="5562"/>
    <n v="21782"/>
    <n v="4"/>
    <s v="No"/>
    <n v="13"/>
    <n v="3"/>
    <n v="2"/>
    <n v="1"/>
    <n v="12"/>
    <n v="2"/>
    <n v="2"/>
    <n v="5"/>
    <n v="2"/>
    <n v="2"/>
    <n v="2"/>
    <x v="0"/>
    <n v="50058"/>
    <x v="1"/>
    <n v="0"/>
  </r>
  <r>
    <n v="47"/>
    <x v="1"/>
    <s v="Travel_Rarely"/>
    <n v="249"/>
    <x v="0"/>
    <n v="2"/>
    <n v="2"/>
    <s v="Marketing"/>
    <n v="903"/>
    <n v="3"/>
    <s v="Female"/>
    <n v="35"/>
    <n v="3"/>
    <n v="2"/>
    <x v="0"/>
    <n v="4"/>
    <s v="Married"/>
    <n v="4537"/>
    <n v="17783"/>
    <n v="0"/>
    <s v="Yes"/>
    <n v="22"/>
    <n v="4"/>
    <n v="1"/>
    <n v="1"/>
    <n v="8"/>
    <n v="2"/>
    <n v="3"/>
    <n v="7"/>
    <n v="6"/>
    <n v="7"/>
    <n v="7"/>
    <x v="1"/>
    <n v="40833"/>
    <x v="0"/>
    <n v="0"/>
  </r>
  <r>
    <n v="37"/>
    <x v="1"/>
    <s v="Non-Travel"/>
    <n v="1252"/>
    <x v="0"/>
    <n v="19"/>
    <n v="2"/>
    <s v="Medical"/>
    <n v="904"/>
    <n v="1"/>
    <s v="Male"/>
    <n v="32"/>
    <n v="3"/>
    <n v="3"/>
    <x v="0"/>
    <n v="2"/>
    <s v="Single"/>
    <n v="7642"/>
    <n v="4814"/>
    <n v="1"/>
    <s v="Yes"/>
    <n v="13"/>
    <n v="3"/>
    <n v="4"/>
    <n v="0"/>
    <n v="10"/>
    <n v="2"/>
    <n v="3"/>
    <n v="10"/>
    <n v="0"/>
    <n v="0"/>
    <n v="9"/>
    <x v="1"/>
    <n v="68778"/>
    <x v="0"/>
    <n v="0"/>
  </r>
  <r>
    <n v="50"/>
    <x v="1"/>
    <s v="Non-Travel"/>
    <n v="881"/>
    <x v="1"/>
    <n v="2"/>
    <n v="4"/>
    <s v="Life Sciences"/>
    <n v="905"/>
    <n v="1"/>
    <s v="Male"/>
    <n v="98"/>
    <n v="3"/>
    <n v="4"/>
    <x v="5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  <x v="1"/>
    <n v="161316"/>
    <x v="0"/>
    <n v="0"/>
  </r>
  <r>
    <n v="39"/>
    <x v="1"/>
    <s v="Travel_Rarely"/>
    <n v="1383"/>
    <x v="2"/>
    <n v="2"/>
    <n v="3"/>
    <s v="Life Sciences"/>
    <n v="909"/>
    <n v="4"/>
    <s v="Female"/>
    <n v="42"/>
    <n v="2"/>
    <n v="2"/>
    <x v="8"/>
    <n v="4"/>
    <s v="Married"/>
    <n v="5204"/>
    <n v="7790"/>
    <n v="8"/>
    <s v="No"/>
    <n v="11"/>
    <n v="3"/>
    <n v="3"/>
    <n v="2"/>
    <n v="13"/>
    <n v="2"/>
    <n v="3"/>
    <n v="5"/>
    <n v="4"/>
    <n v="0"/>
    <n v="4"/>
    <x v="0"/>
    <n v="46836"/>
    <x v="1"/>
    <n v="0"/>
  </r>
  <r>
    <n v="33"/>
    <x v="1"/>
    <s v="Travel_Rarely"/>
    <n v="1075"/>
    <x v="2"/>
    <n v="3"/>
    <n v="2"/>
    <s v="Human Resources"/>
    <n v="910"/>
    <n v="4"/>
    <s v="Male"/>
    <n v="57"/>
    <n v="3"/>
    <n v="1"/>
    <x v="8"/>
    <n v="2"/>
    <s v="Divorced"/>
    <n v="2277"/>
    <n v="22650"/>
    <n v="3"/>
    <s v="Yes"/>
    <n v="11"/>
    <n v="3"/>
    <n v="3"/>
    <n v="1"/>
    <n v="7"/>
    <n v="4"/>
    <n v="4"/>
    <n v="4"/>
    <n v="3"/>
    <n v="0"/>
    <n v="3"/>
    <x v="0"/>
    <n v="20493"/>
    <x v="0"/>
    <n v="0"/>
  </r>
  <r>
    <n v="32"/>
    <x v="0"/>
    <s v="Travel_Rarely"/>
    <n v="374"/>
    <x v="1"/>
    <n v="25"/>
    <n v="4"/>
    <s v="Life Sciences"/>
    <n v="911"/>
    <n v="1"/>
    <s v="Male"/>
    <n v="87"/>
    <n v="3"/>
    <n v="1"/>
    <x v="2"/>
    <n v="4"/>
    <s v="Single"/>
    <n v="2795"/>
    <n v="18016"/>
    <n v="1"/>
    <s v="Yes"/>
    <n v="24"/>
    <n v="4"/>
    <n v="3"/>
    <n v="0"/>
    <n v="1"/>
    <n v="2"/>
    <n v="1"/>
    <n v="1"/>
    <n v="0"/>
    <n v="0"/>
    <n v="1"/>
    <x v="3"/>
    <n v="25155"/>
    <x v="0"/>
    <n v="25155"/>
  </r>
  <r>
    <n v="29"/>
    <x v="1"/>
    <s v="Travel_Rarely"/>
    <n v="1086"/>
    <x v="1"/>
    <n v="7"/>
    <n v="1"/>
    <s v="Medical"/>
    <n v="912"/>
    <n v="1"/>
    <s v="Female"/>
    <n v="62"/>
    <n v="2"/>
    <n v="1"/>
    <x v="2"/>
    <n v="4"/>
    <s v="Divorced"/>
    <n v="2532"/>
    <n v="6054"/>
    <n v="6"/>
    <s v="No"/>
    <n v="14"/>
    <n v="3"/>
    <n v="3"/>
    <n v="3"/>
    <n v="8"/>
    <n v="5"/>
    <n v="3"/>
    <n v="4"/>
    <n v="3"/>
    <n v="0"/>
    <n v="3"/>
    <x v="0"/>
    <n v="22788"/>
    <x v="1"/>
    <n v="0"/>
  </r>
  <r>
    <n v="44"/>
    <x v="1"/>
    <s v="Travel_Rarely"/>
    <n v="661"/>
    <x v="1"/>
    <n v="9"/>
    <n v="2"/>
    <s v="Life Sciences"/>
    <n v="913"/>
    <n v="2"/>
    <s v="Male"/>
    <n v="61"/>
    <n v="3"/>
    <n v="1"/>
    <x v="1"/>
    <n v="1"/>
    <s v="Married"/>
    <n v="2559"/>
    <n v="7508"/>
    <n v="1"/>
    <s v="Yes"/>
    <n v="13"/>
    <n v="3"/>
    <n v="4"/>
    <n v="0"/>
    <n v="8"/>
    <n v="0"/>
    <n v="3"/>
    <n v="8"/>
    <n v="7"/>
    <n v="7"/>
    <n v="1"/>
    <x v="1"/>
    <n v="23031"/>
    <x v="0"/>
    <n v="0"/>
  </r>
  <r>
    <n v="28"/>
    <x v="1"/>
    <s v="Travel_Rarely"/>
    <n v="821"/>
    <x v="0"/>
    <n v="5"/>
    <n v="4"/>
    <s v="Medical"/>
    <n v="916"/>
    <n v="1"/>
    <s v="Male"/>
    <n v="98"/>
    <n v="3"/>
    <n v="2"/>
    <x v="0"/>
    <n v="4"/>
    <s v="Single"/>
    <n v="4908"/>
    <n v="24252"/>
    <n v="1"/>
    <s v="No"/>
    <n v="14"/>
    <n v="3"/>
    <n v="2"/>
    <n v="0"/>
    <n v="4"/>
    <n v="3"/>
    <n v="3"/>
    <n v="4"/>
    <n v="2"/>
    <n v="0"/>
    <n v="2"/>
    <x v="0"/>
    <n v="44172"/>
    <x v="1"/>
    <n v="0"/>
  </r>
  <r>
    <n v="58"/>
    <x v="0"/>
    <s v="Travel_Frequently"/>
    <n v="781"/>
    <x v="1"/>
    <n v="2"/>
    <n v="1"/>
    <s v="Life Sciences"/>
    <n v="918"/>
    <n v="4"/>
    <s v="Male"/>
    <n v="57"/>
    <n v="2"/>
    <n v="1"/>
    <x v="2"/>
    <n v="4"/>
    <s v="Divorced"/>
    <n v="2380"/>
    <n v="13384"/>
    <n v="9"/>
    <s v="Yes"/>
    <n v="14"/>
    <n v="3"/>
    <n v="4"/>
    <n v="1"/>
    <n v="3"/>
    <n v="3"/>
    <n v="2"/>
    <n v="1"/>
    <n v="0"/>
    <n v="0"/>
    <n v="0"/>
    <x v="3"/>
    <n v="21420"/>
    <x v="0"/>
    <n v="21420"/>
  </r>
  <r>
    <n v="43"/>
    <x v="1"/>
    <s v="Travel_Rarely"/>
    <n v="177"/>
    <x v="1"/>
    <n v="8"/>
    <n v="3"/>
    <s v="Life Sciences"/>
    <n v="920"/>
    <n v="1"/>
    <s v="Female"/>
    <n v="55"/>
    <n v="3"/>
    <n v="2"/>
    <x v="3"/>
    <n v="2"/>
    <s v="Divorced"/>
    <n v="4765"/>
    <n v="23814"/>
    <n v="4"/>
    <s v="No"/>
    <n v="21"/>
    <n v="4"/>
    <n v="3"/>
    <n v="1"/>
    <n v="4"/>
    <n v="2"/>
    <n v="4"/>
    <n v="1"/>
    <n v="0"/>
    <n v="0"/>
    <n v="0"/>
    <x v="3"/>
    <n v="42885"/>
    <x v="0"/>
    <n v="0"/>
  </r>
  <r>
    <n v="20"/>
    <x v="0"/>
    <s v="Travel_Rarely"/>
    <n v="500"/>
    <x v="0"/>
    <n v="2"/>
    <n v="3"/>
    <s v="Medical"/>
    <n v="922"/>
    <n v="3"/>
    <s v="Female"/>
    <n v="49"/>
    <n v="2"/>
    <n v="1"/>
    <x v="6"/>
    <n v="3"/>
    <s v="Single"/>
    <n v="2044"/>
    <n v="22052"/>
    <n v="1"/>
    <s v="No"/>
    <n v="13"/>
    <n v="3"/>
    <n v="4"/>
    <n v="0"/>
    <n v="2"/>
    <n v="3"/>
    <n v="2"/>
    <n v="2"/>
    <n v="2"/>
    <n v="0"/>
    <n v="2"/>
    <x v="3"/>
    <n v="18396"/>
    <x v="1"/>
    <n v="18396"/>
  </r>
  <r>
    <n v="21"/>
    <x v="0"/>
    <s v="Travel_Rarely"/>
    <n v="1427"/>
    <x v="1"/>
    <n v="18"/>
    <n v="1"/>
    <s v="Other"/>
    <n v="923"/>
    <n v="4"/>
    <s v="Female"/>
    <n v="65"/>
    <n v="3"/>
    <n v="1"/>
    <x v="1"/>
    <n v="4"/>
    <s v="Single"/>
    <n v="2693"/>
    <n v="8870"/>
    <n v="1"/>
    <s v="No"/>
    <n v="19"/>
    <n v="3"/>
    <n v="1"/>
    <n v="0"/>
    <n v="1"/>
    <n v="3"/>
    <n v="2"/>
    <n v="1"/>
    <n v="0"/>
    <n v="0"/>
    <n v="0"/>
    <x v="3"/>
    <n v="24237"/>
    <x v="1"/>
    <n v="24237"/>
  </r>
  <r>
    <n v="36"/>
    <x v="1"/>
    <s v="Travel_Rarely"/>
    <n v="1425"/>
    <x v="1"/>
    <n v="14"/>
    <n v="1"/>
    <s v="Life Sciences"/>
    <n v="924"/>
    <n v="3"/>
    <s v="Male"/>
    <n v="68"/>
    <n v="3"/>
    <n v="2"/>
    <x v="4"/>
    <n v="4"/>
    <s v="Married"/>
    <n v="6586"/>
    <n v="4821"/>
    <n v="0"/>
    <s v="Yes"/>
    <n v="17"/>
    <n v="3"/>
    <n v="1"/>
    <n v="1"/>
    <n v="17"/>
    <n v="2"/>
    <n v="2"/>
    <n v="16"/>
    <n v="8"/>
    <n v="4"/>
    <n v="11"/>
    <x v="1"/>
    <n v="59274"/>
    <x v="0"/>
    <n v="0"/>
  </r>
  <r>
    <n v="47"/>
    <x v="1"/>
    <s v="Travel_Rarely"/>
    <n v="1454"/>
    <x v="0"/>
    <n v="2"/>
    <n v="4"/>
    <s v="Life Sciences"/>
    <n v="925"/>
    <n v="4"/>
    <s v="Female"/>
    <n v="65"/>
    <n v="2"/>
    <n v="1"/>
    <x v="6"/>
    <n v="4"/>
    <s v="Single"/>
    <n v="3294"/>
    <n v="13137"/>
    <n v="1"/>
    <s v="Yes"/>
    <n v="18"/>
    <n v="3"/>
    <n v="1"/>
    <n v="0"/>
    <n v="3"/>
    <n v="3"/>
    <n v="2"/>
    <n v="3"/>
    <n v="2"/>
    <n v="1"/>
    <n v="2"/>
    <x v="3"/>
    <n v="29646"/>
    <x v="0"/>
    <n v="0"/>
  </r>
  <r>
    <n v="22"/>
    <x v="0"/>
    <s v="Travel_Rarely"/>
    <n v="617"/>
    <x v="1"/>
    <n v="3"/>
    <n v="1"/>
    <s v="Life Sciences"/>
    <n v="926"/>
    <n v="2"/>
    <s v="Female"/>
    <n v="34"/>
    <n v="3"/>
    <n v="2"/>
    <x v="3"/>
    <n v="3"/>
    <s v="Married"/>
    <n v="4171"/>
    <n v="10022"/>
    <n v="0"/>
    <s v="Yes"/>
    <n v="19"/>
    <n v="3"/>
    <n v="1"/>
    <n v="1"/>
    <n v="4"/>
    <n v="3"/>
    <n v="4"/>
    <n v="3"/>
    <n v="2"/>
    <n v="0"/>
    <n v="2"/>
    <x v="3"/>
    <n v="37539"/>
    <x v="0"/>
    <n v="37539"/>
  </r>
  <r>
    <n v="41"/>
    <x v="0"/>
    <s v="Travel_Rarely"/>
    <n v="1085"/>
    <x v="1"/>
    <n v="2"/>
    <n v="4"/>
    <s v="Life Sciences"/>
    <n v="927"/>
    <n v="2"/>
    <s v="Female"/>
    <n v="57"/>
    <n v="1"/>
    <n v="1"/>
    <x v="2"/>
    <n v="4"/>
    <s v="Divorced"/>
    <n v="2778"/>
    <n v="17725"/>
    <n v="4"/>
    <s v="Yes"/>
    <n v="13"/>
    <n v="3"/>
    <n v="3"/>
    <n v="1"/>
    <n v="10"/>
    <n v="1"/>
    <n v="2"/>
    <n v="7"/>
    <n v="7"/>
    <n v="1"/>
    <n v="0"/>
    <x v="1"/>
    <n v="25002"/>
    <x v="0"/>
    <n v="25002"/>
  </r>
  <r>
    <n v="28"/>
    <x v="1"/>
    <s v="Travel_Rarely"/>
    <n v="995"/>
    <x v="1"/>
    <n v="9"/>
    <n v="3"/>
    <s v="Medical"/>
    <n v="930"/>
    <n v="3"/>
    <s v="Female"/>
    <n v="77"/>
    <n v="3"/>
    <n v="1"/>
    <x v="1"/>
    <n v="3"/>
    <s v="Divorced"/>
    <n v="2377"/>
    <n v="9834"/>
    <n v="5"/>
    <s v="No"/>
    <n v="18"/>
    <n v="3"/>
    <n v="2"/>
    <n v="1"/>
    <n v="6"/>
    <n v="2"/>
    <n v="3"/>
    <n v="2"/>
    <n v="2"/>
    <n v="2"/>
    <n v="2"/>
    <x v="3"/>
    <n v="21393"/>
    <x v="1"/>
    <n v="0"/>
  </r>
  <r>
    <n v="39"/>
    <x v="0"/>
    <s v="Travel_Rarely"/>
    <n v="1122"/>
    <x v="1"/>
    <n v="6"/>
    <n v="3"/>
    <s v="Medical"/>
    <n v="932"/>
    <n v="4"/>
    <s v="Male"/>
    <n v="70"/>
    <n v="3"/>
    <n v="1"/>
    <x v="2"/>
    <n v="1"/>
    <s v="Married"/>
    <n v="2404"/>
    <n v="4303"/>
    <n v="7"/>
    <s v="Yes"/>
    <n v="21"/>
    <n v="4"/>
    <n v="4"/>
    <n v="0"/>
    <n v="8"/>
    <n v="2"/>
    <n v="1"/>
    <n v="2"/>
    <n v="2"/>
    <n v="2"/>
    <n v="2"/>
    <x v="3"/>
    <n v="21636"/>
    <x v="2"/>
    <n v="21636"/>
  </r>
  <r>
    <n v="27"/>
    <x v="1"/>
    <s v="Travel_Rarely"/>
    <n v="618"/>
    <x v="1"/>
    <n v="4"/>
    <n v="3"/>
    <s v="Life Sciences"/>
    <n v="933"/>
    <n v="2"/>
    <s v="Female"/>
    <n v="76"/>
    <n v="3"/>
    <n v="1"/>
    <x v="1"/>
    <n v="3"/>
    <s v="Single"/>
    <n v="2318"/>
    <n v="17808"/>
    <n v="1"/>
    <s v="No"/>
    <n v="19"/>
    <n v="3"/>
    <n v="3"/>
    <n v="0"/>
    <n v="1"/>
    <n v="2"/>
    <n v="3"/>
    <n v="1"/>
    <n v="1"/>
    <n v="0"/>
    <n v="0"/>
    <x v="3"/>
    <n v="20862"/>
    <x v="1"/>
    <n v="0"/>
  </r>
  <r>
    <n v="34"/>
    <x v="1"/>
    <s v="Travel_Rarely"/>
    <n v="546"/>
    <x v="1"/>
    <n v="10"/>
    <n v="3"/>
    <s v="Life Sciences"/>
    <n v="934"/>
    <n v="2"/>
    <s v="Male"/>
    <n v="83"/>
    <n v="3"/>
    <n v="1"/>
    <x v="2"/>
    <n v="2"/>
    <s v="Divorced"/>
    <n v="2008"/>
    <n v="6896"/>
    <n v="1"/>
    <s v="No"/>
    <n v="14"/>
    <n v="3"/>
    <n v="2"/>
    <n v="2"/>
    <n v="1"/>
    <n v="3"/>
    <n v="3"/>
    <n v="1"/>
    <n v="0"/>
    <n v="1"/>
    <n v="0"/>
    <x v="3"/>
    <n v="18072"/>
    <x v="0"/>
    <n v="0"/>
  </r>
  <r>
    <n v="42"/>
    <x v="1"/>
    <s v="Travel_Rarely"/>
    <n v="462"/>
    <x v="0"/>
    <n v="14"/>
    <n v="2"/>
    <s v="Medical"/>
    <n v="936"/>
    <n v="3"/>
    <s v="Female"/>
    <n v="68"/>
    <n v="2"/>
    <n v="2"/>
    <x v="0"/>
    <n v="3"/>
    <s v="Single"/>
    <n v="6244"/>
    <n v="7824"/>
    <n v="7"/>
    <s v="No"/>
    <n v="17"/>
    <n v="3"/>
    <n v="1"/>
    <n v="0"/>
    <n v="10"/>
    <n v="6"/>
    <n v="3"/>
    <n v="5"/>
    <n v="4"/>
    <n v="0"/>
    <n v="3"/>
    <x v="0"/>
    <n v="56196"/>
    <x v="1"/>
    <n v="0"/>
  </r>
  <r>
    <n v="33"/>
    <x v="1"/>
    <s v="Travel_Rarely"/>
    <n v="1198"/>
    <x v="1"/>
    <n v="1"/>
    <n v="4"/>
    <s v="Other"/>
    <n v="939"/>
    <n v="3"/>
    <s v="Male"/>
    <n v="100"/>
    <n v="2"/>
    <n v="1"/>
    <x v="1"/>
    <n v="1"/>
    <s v="Single"/>
    <n v="2799"/>
    <n v="3339"/>
    <n v="3"/>
    <s v="Yes"/>
    <n v="11"/>
    <n v="3"/>
    <n v="2"/>
    <n v="0"/>
    <n v="6"/>
    <n v="1"/>
    <n v="3"/>
    <n v="3"/>
    <n v="2"/>
    <n v="0"/>
    <n v="2"/>
    <x v="3"/>
    <n v="25191"/>
    <x v="2"/>
    <n v="0"/>
  </r>
  <r>
    <n v="58"/>
    <x v="1"/>
    <s v="Travel_Rarely"/>
    <n v="1272"/>
    <x v="1"/>
    <n v="5"/>
    <n v="3"/>
    <s v="Technical Degree"/>
    <n v="940"/>
    <n v="3"/>
    <s v="Female"/>
    <n v="37"/>
    <n v="2"/>
    <n v="3"/>
    <x v="4"/>
    <n v="2"/>
    <s v="Divorced"/>
    <n v="10552"/>
    <n v="9255"/>
    <n v="2"/>
    <s v="Yes"/>
    <n v="13"/>
    <n v="3"/>
    <n v="4"/>
    <n v="1"/>
    <n v="24"/>
    <n v="3"/>
    <n v="3"/>
    <n v="6"/>
    <n v="0"/>
    <n v="0"/>
    <n v="4"/>
    <x v="0"/>
    <n v="94968"/>
    <x v="0"/>
    <n v="0"/>
  </r>
  <r>
    <n v="31"/>
    <x v="1"/>
    <s v="Travel_Rarely"/>
    <n v="154"/>
    <x v="0"/>
    <n v="7"/>
    <n v="4"/>
    <s v="Life Sciences"/>
    <n v="941"/>
    <n v="2"/>
    <s v="Male"/>
    <n v="41"/>
    <n v="2"/>
    <n v="1"/>
    <x v="6"/>
    <n v="3"/>
    <s v="Married"/>
    <n v="2329"/>
    <n v="11737"/>
    <n v="3"/>
    <s v="No"/>
    <n v="15"/>
    <n v="3"/>
    <n v="2"/>
    <n v="0"/>
    <n v="13"/>
    <n v="2"/>
    <n v="4"/>
    <n v="7"/>
    <n v="7"/>
    <n v="5"/>
    <n v="2"/>
    <x v="1"/>
    <n v="20961"/>
    <x v="1"/>
    <n v="0"/>
  </r>
  <r>
    <n v="35"/>
    <x v="1"/>
    <s v="Travel_Rarely"/>
    <n v="1137"/>
    <x v="1"/>
    <n v="21"/>
    <n v="1"/>
    <s v="Life Sciences"/>
    <n v="942"/>
    <n v="4"/>
    <s v="Female"/>
    <n v="51"/>
    <n v="3"/>
    <n v="2"/>
    <x v="4"/>
    <n v="4"/>
    <s v="Married"/>
    <n v="4014"/>
    <n v="19170"/>
    <n v="1"/>
    <s v="Yes"/>
    <n v="25"/>
    <n v="4"/>
    <n v="4"/>
    <n v="1"/>
    <n v="10"/>
    <n v="2"/>
    <n v="1"/>
    <n v="10"/>
    <n v="6"/>
    <n v="0"/>
    <n v="7"/>
    <x v="1"/>
    <n v="36126"/>
    <x v="0"/>
    <n v="0"/>
  </r>
  <r>
    <n v="49"/>
    <x v="1"/>
    <s v="Travel_Rarely"/>
    <n v="527"/>
    <x v="1"/>
    <n v="8"/>
    <n v="2"/>
    <s v="Other"/>
    <n v="944"/>
    <n v="1"/>
    <s v="Female"/>
    <n v="51"/>
    <n v="3"/>
    <n v="3"/>
    <x v="2"/>
    <n v="2"/>
    <s v="Married"/>
    <n v="7403"/>
    <n v="22477"/>
    <n v="4"/>
    <s v="No"/>
    <n v="11"/>
    <n v="3"/>
    <n v="3"/>
    <n v="1"/>
    <n v="29"/>
    <n v="3"/>
    <n v="2"/>
    <n v="26"/>
    <n v="9"/>
    <n v="1"/>
    <n v="7"/>
    <x v="1"/>
    <n v="66627"/>
    <x v="0"/>
    <n v="0"/>
  </r>
  <r>
    <n v="48"/>
    <x v="1"/>
    <s v="Travel_Rarely"/>
    <n v="1469"/>
    <x v="1"/>
    <n v="20"/>
    <n v="4"/>
    <s v="Medical"/>
    <n v="945"/>
    <n v="4"/>
    <s v="Male"/>
    <n v="51"/>
    <n v="3"/>
    <n v="1"/>
    <x v="1"/>
    <n v="3"/>
    <s v="Married"/>
    <n v="2259"/>
    <n v="5543"/>
    <n v="4"/>
    <s v="No"/>
    <n v="17"/>
    <n v="3"/>
    <n v="1"/>
    <n v="2"/>
    <n v="13"/>
    <n v="2"/>
    <n v="2"/>
    <n v="0"/>
    <n v="0"/>
    <n v="0"/>
    <n v="0"/>
    <x v="2"/>
    <n v="20331"/>
    <x v="1"/>
    <n v="0"/>
  </r>
  <r>
    <n v="31"/>
    <x v="1"/>
    <s v="Non-Travel"/>
    <n v="1188"/>
    <x v="0"/>
    <n v="20"/>
    <n v="2"/>
    <s v="Marketing"/>
    <n v="947"/>
    <n v="4"/>
    <s v="Female"/>
    <n v="45"/>
    <n v="3"/>
    <n v="2"/>
    <x v="0"/>
    <n v="3"/>
    <s v="Married"/>
    <n v="6932"/>
    <n v="24406"/>
    <n v="1"/>
    <s v="No"/>
    <n v="13"/>
    <n v="3"/>
    <n v="4"/>
    <n v="1"/>
    <n v="9"/>
    <n v="2"/>
    <n v="2"/>
    <n v="9"/>
    <n v="8"/>
    <n v="0"/>
    <n v="0"/>
    <x v="1"/>
    <n v="62388"/>
    <x v="1"/>
    <n v="0"/>
  </r>
  <r>
    <n v="36"/>
    <x v="1"/>
    <s v="Travel_Rarely"/>
    <n v="188"/>
    <x v="1"/>
    <n v="7"/>
    <n v="4"/>
    <s v="Other"/>
    <n v="949"/>
    <n v="2"/>
    <s v="Male"/>
    <n v="65"/>
    <n v="3"/>
    <n v="1"/>
    <x v="1"/>
    <n v="4"/>
    <s v="Single"/>
    <n v="4678"/>
    <n v="23293"/>
    <n v="2"/>
    <s v="No"/>
    <n v="18"/>
    <n v="3"/>
    <n v="3"/>
    <n v="0"/>
    <n v="8"/>
    <n v="6"/>
    <n v="3"/>
    <n v="6"/>
    <n v="2"/>
    <n v="0"/>
    <n v="1"/>
    <x v="0"/>
    <n v="42102"/>
    <x v="1"/>
    <n v="0"/>
  </r>
  <r>
    <n v="38"/>
    <x v="1"/>
    <s v="Travel_Rarely"/>
    <n v="1333"/>
    <x v="1"/>
    <n v="1"/>
    <n v="3"/>
    <s v="Technical Degree"/>
    <n v="950"/>
    <n v="4"/>
    <s v="Female"/>
    <n v="80"/>
    <n v="3"/>
    <n v="3"/>
    <x v="7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  <x v="1"/>
    <n v="122238"/>
    <x v="0"/>
    <n v="0"/>
  </r>
  <r>
    <n v="32"/>
    <x v="1"/>
    <s v="Non-Travel"/>
    <n v="1184"/>
    <x v="1"/>
    <n v="1"/>
    <n v="3"/>
    <s v="Life Sciences"/>
    <n v="951"/>
    <n v="3"/>
    <s v="Female"/>
    <n v="70"/>
    <n v="2"/>
    <n v="1"/>
    <x v="2"/>
    <n v="2"/>
    <s v="Married"/>
    <n v="2332"/>
    <n v="3974"/>
    <n v="6"/>
    <s v="No"/>
    <n v="20"/>
    <n v="4"/>
    <n v="3"/>
    <n v="0"/>
    <n v="5"/>
    <n v="3"/>
    <n v="3"/>
    <n v="3"/>
    <n v="0"/>
    <n v="0"/>
    <n v="2"/>
    <x v="3"/>
    <n v="20988"/>
    <x v="0"/>
    <n v="0"/>
  </r>
  <r>
    <n v="25"/>
    <x v="0"/>
    <s v="Travel_Rarely"/>
    <n v="867"/>
    <x v="0"/>
    <n v="19"/>
    <n v="2"/>
    <s v="Marketing"/>
    <n v="952"/>
    <n v="3"/>
    <s v="Male"/>
    <n v="36"/>
    <n v="2"/>
    <n v="1"/>
    <x v="6"/>
    <n v="2"/>
    <s v="Married"/>
    <n v="2413"/>
    <n v="18798"/>
    <n v="1"/>
    <s v="Yes"/>
    <n v="18"/>
    <n v="3"/>
    <n v="3"/>
    <n v="3"/>
    <n v="1"/>
    <n v="2"/>
    <n v="3"/>
    <n v="1"/>
    <n v="0"/>
    <n v="0"/>
    <n v="0"/>
    <x v="3"/>
    <n v="21717"/>
    <x v="2"/>
    <n v="21717"/>
  </r>
  <r>
    <n v="40"/>
    <x v="1"/>
    <s v="Travel_Rarely"/>
    <n v="658"/>
    <x v="0"/>
    <n v="10"/>
    <n v="4"/>
    <s v="Marketing"/>
    <n v="954"/>
    <n v="1"/>
    <s v="Male"/>
    <n v="67"/>
    <n v="2"/>
    <n v="3"/>
    <x v="0"/>
    <n v="2"/>
    <s v="Divorced"/>
    <n v="9705"/>
    <n v="20652"/>
    <n v="2"/>
    <s v="No"/>
    <n v="12"/>
    <n v="3"/>
    <n v="2"/>
    <n v="1"/>
    <n v="11"/>
    <n v="2"/>
    <n v="2"/>
    <n v="1"/>
    <n v="0"/>
    <n v="0"/>
    <n v="0"/>
    <x v="3"/>
    <n v="87345"/>
    <x v="0"/>
    <n v="0"/>
  </r>
  <r>
    <n v="26"/>
    <x v="1"/>
    <s v="Travel_Frequently"/>
    <n v="1283"/>
    <x v="0"/>
    <n v="1"/>
    <n v="3"/>
    <s v="Medical"/>
    <n v="956"/>
    <n v="3"/>
    <s v="Male"/>
    <n v="52"/>
    <n v="2"/>
    <n v="2"/>
    <x v="0"/>
    <n v="1"/>
    <s v="Single"/>
    <n v="4294"/>
    <n v="11148"/>
    <n v="1"/>
    <s v="No"/>
    <n v="12"/>
    <n v="3"/>
    <n v="2"/>
    <n v="0"/>
    <n v="7"/>
    <n v="2"/>
    <n v="3"/>
    <n v="7"/>
    <n v="7"/>
    <n v="0"/>
    <n v="7"/>
    <x v="1"/>
    <n v="38646"/>
    <x v="0"/>
    <n v="0"/>
  </r>
  <r>
    <n v="41"/>
    <x v="1"/>
    <s v="Travel_Rarely"/>
    <n v="263"/>
    <x v="1"/>
    <n v="6"/>
    <n v="3"/>
    <s v="Medical"/>
    <n v="957"/>
    <n v="4"/>
    <s v="Male"/>
    <n v="59"/>
    <n v="3"/>
    <n v="1"/>
    <x v="2"/>
    <n v="1"/>
    <s v="Single"/>
    <n v="4721"/>
    <n v="3119"/>
    <n v="2"/>
    <s v="Yes"/>
    <n v="13"/>
    <n v="3"/>
    <n v="3"/>
    <n v="0"/>
    <n v="20"/>
    <n v="3"/>
    <n v="3"/>
    <n v="18"/>
    <n v="13"/>
    <n v="2"/>
    <n v="17"/>
    <x v="1"/>
    <n v="42489"/>
    <x v="0"/>
    <n v="0"/>
  </r>
  <r>
    <n v="36"/>
    <x v="1"/>
    <s v="Travel_Rarely"/>
    <n v="938"/>
    <x v="1"/>
    <n v="2"/>
    <n v="4"/>
    <s v="Medical"/>
    <n v="958"/>
    <n v="3"/>
    <s v="Male"/>
    <n v="79"/>
    <n v="3"/>
    <n v="1"/>
    <x v="2"/>
    <n v="3"/>
    <s v="Single"/>
    <n v="2519"/>
    <n v="12287"/>
    <n v="4"/>
    <s v="No"/>
    <n v="21"/>
    <n v="4"/>
    <n v="3"/>
    <n v="0"/>
    <n v="16"/>
    <n v="6"/>
    <n v="3"/>
    <n v="11"/>
    <n v="8"/>
    <n v="3"/>
    <n v="9"/>
    <x v="1"/>
    <n v="22671"/>
    <x v="1"/>
    <n v="0"/>
  </r>
  <r>
    <n v="19"/>
    <x v="0"/>
    <s v="Travel_Rarely"/>
    <n v="419"/>
    <x v="0"/>
    <n v="21"/>
    <n v="3"/>
    <s v="Other"/>
    <n v="959"/>
    <n v="4"/>
    <s v="Male"/>
    <n v="37"/>
    <n v="2"/>
    <n v="1"/>
    <x v="6"/>
    <n v="2"/>
    <s v="Single"/>
    <n v="2121"/>
    <n v="9947"/>
    <n v="1"/>
    <s v="Yes"/>
    <n v="13"/>
    <n v="3"/>
    <n v="2"/>
    <n v="0"/>
    <n v="1"/>
    <n v="3"/>
    <n v="4"/>
    <n v="1"/>
    <n v="0"/>
    <n v="0"/>
    <n v="0"/>
    <x v="3"/>
    <n v="19089"/>
    <x v="2"/>
    <n v="19089"/>
  </r>
  <r>
    <n v="20"/>
    <x v="0"/>
    <s v="Travel_Rarely"/>
    <n v="129"/>
    <x v="1"/>
    <n v="4"/>
    <n v="3"/>
    <s v="Technical Degree"/>
    <n v="960"/>
    <n v="1"/>
    <s v="Male"/>
    <n v="84"/>
    <n v="3"/>
    <n v="1"/>
    <x v="2"/>
    <n v="1"/>
    <s v="Single"/>
    <n v="2973"/>
    <n v="13008"/>
    <n v="1"/>
    <s v="No"/>
    <n v="19"/>
    <n v="3"/>
    <n v="2"/>
    <n v="0"/>
    <n v="1"/>
    <n v="2"/>
    <n v="3"/>
    <n v="1"/>
    <n v="0"/>
    <n v="0"/>
    <n v="0"/>
    <x v="3"/>
    <n v="26757"/>
    <x v="0"/>
    <n v="26757"/>
  </r>
  <r>
    <n v="31"/>
    <x v="1"/>
    <s v="Travel_Rarely"/>
    <n v="616"/>
    <x v="1"/>
    <n v="12"/>
    <n v="3"/>
    <s v="Medical"/>
    <n v="961"/>
    <n v="4"/>
    <s v="Female"/>
    <n v="41"/>
    <n v="3"/>
    <n v="2"/>
    <x v="4"/>
    <n v="4"/>
    <s v="Married"/>
    <n v="5855"/>
    <n v="17369"/>
    <n v="0"/>
    <s v="Yes"/>
    <n v="11"/>
    <n v="3"/>
    <n v="3"/>
    <n v="2"/>
    <n v="10"/>
    <n v="2"/>
    <n v="1"/>
    <n v="9"/>
    <n v="7"/>
    <n v="8"/>
    <n v="5"/>
    <x v="1"/>
    <n v="52695"/>
    <x v="0"/>
    <n v="0"/>
  </r>
  <r>
    <n v="40"/>
    <x v="1"/>
    <s v="Travel_Frequently"/>
    <n v="1469"/>
    <x v="1"/>
    <n v="9"/>
    <n v="4"/>
    <s v="Medical"/>
    <n v="964"/>
    <n v="4"/>
    <s v="Male"/>
    <n v="35"/>
    <n v="3"/>
    <n v="1"/>
    <x v="1"/>
    <n v="2"/>
    <s v="Divorced"/>
    <n v="3617"/>
    <n v="25063"/>
    <n v="8"/>
    <s v="Yes"/>
    <n v="14"/>
    <n v="3"/>
    <n v="4"/>
    <n v="1"/>
    <n v="3"/>
    <n v="2"/>
    <n v="3"/>
    <n v="1"/>
    <n v="1"/>
    <n v="0"/>
    <n v="0"/>
    <x v="3"/>
    <n v="32553"/>
    <x v="2"/>
    <n v="0"/>
  </r>
  <r>
    <n v="32"/>
    <x v="1"/>
    <s v="Travel_Rarely"/>
    <n v="498"/>
    <x v="1"/>
    <n v="3"/>
    <n v="4"/>
    <s v="Medical"/>
    <n v="966"/>
    <n v="3"/>
    <s v="Female"/>
    <n v="93"/>
    <n v="3"/>
    <n v="2"/>
    <x v="3"/>
    <n v="1"/>
    <s v="Married"/>
    <n v="6725"/>
    <n v="13554"/>
    <n v="1"/>
    <s v="No"/>
    <n v="12"/>
    <n v="3"/>
    <n v="3"/>
    <n v="1"/>
    <n v="8"/>
    <n v="2"/>
    <n v="4"/>
    <n v="8"/>
    <n v="7"/>
    <n v="6"/>
    <n v="3"/>
    <x v="1"/>
    <n v="60525"/>
    <x v="0"/>
    <n v="0"/>
  </r>
  <r>
    <n v="36"/>
    <x v="0"/>
    <s v="Travel_Rarely"/>
    <n v="530"/>
    <x v="0"/>
    <n v="3"/>
    <n v="1"/>
    <s v="Life Sciences"/>
    <n v="967"/>
    <n v="3"/>
    <s v="Male"/>
    <n v="51"/>
    <n v="2"/>
    <n v="3"/>
    <x v="0"/>
    <n v="4"/>
    <s v="Married"/>
    <n v="10325"/>
    <n v="5518"/>
    <n v="1"/>
    <s v="Yes"/>
    <n v="11"/>
    <n v="3"/>
    <n v="1"/>
    <n v="1"/>
    <n v="16"/>
    <n v="6"/>
    <n v="3"/>
    <n v="16"/>
    <n v="7"/>
    <n v="3"/>
    <n v="7"/>
    <x v="1"/>
    <n v="92925"/>
    <x v="0"/>
    <n v="92925"/>
  </r>
  <r>
    <n v="33"/>
    <x v="1"/>
    <s v="Travel_Rarely"/>
    <n v="1069"/>
    <x v="1"/>
    <n v="1"/>
    <n v="3"/>
    <s v="Life Sciences"/>
    <n v="969"/>
    <n v="2"/>
    <s v="Female"/>
    <n v="42"/>
    <n v="2"/>
    <n v="2"/>
    <x v="4"/>
    <n v="4"/>
    <s v="Single"/>
    <n v="6949"/>
    <n v="12291"/>
    <n v="0"/>
    <s v="No"/>
    <n v="14"/>
    <n v="3"/>
    <n v="1"/>
    <n v="0"/>
    <n v="6"/>
    <n v="3"/>
    <n v="3"/>
    <n v="5"/>
    <n v="0"/>
    <n v="1"/>
    <n v="4"/>
    <x v="0"/>
    <n v="62541"/>
    <x v="1"/>
    <n v="0"/>
  </r>
  <r>
    <n v="37"/>
    <x v="0"/>
    <s v="Travel_Rarely"/>
    <n v="625"/>
    <x v="0"/>
    <n v="1"/>
    <n v="4"/>
    <s v="Life Sciences"/>
    <n v="970"/>
    <n v="1"/>
    <s v="Male"/>
    <n v="46"/>
    <n v="2"/>
    <n v="3"/>
    <x v="0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  <x v="1"/>
    <n v="95481"/>
    <x v="1"/>
    <n v="95481"/>
  </r>
  <r>
    <n v="45"/>
    <x v="1"/>
    <s v="Non-Travel"/>
    <n v="805"/>
    <x v="1"/>
    <n v="4"/>
    <n v="2"/>
    <s v="Life Sciences"/>
    <n v="972"/>
    <n v="3"/>
    <s v="Male"/>
    <n v="57"/>
    <n v="3"/>
    <n v="2"/>
    <x v="2"/>
    <n v="2"/>
    <s v="Married"/>
    <n v="4447"/>
    <n v="23163"/>
    <n v="1"/>
    <s v="No"/>
    <n v="12"/>
    <n v="3"/>
    <n v="2"/>
    <n v="0"/>
    <n v="9"/>
    <n v="5"/>
    <n v="2"/>
    <n v="9"/>
    <n v="7"/>
    <n v="0"/>
    <n v="8"/>
    <x v="1"/>
    <n v="40023"/>
    <x v="0"/>
    <n v="0"/>
  </r>
  <r>
    <n v="29"/>
    <x v="1"/>
    <s v="Travel_Frequently"/>
    <n v="1404"/>
    <x v="0"/>
    <n v="20"/>
    <n v="3"/>
    <s v="Technical Degree"/>
    <n v="974"/>
    <n v="3"/>
    <s v="Female"/>
    <n v="84"/>
    <n v="3"/>
    <n v="1"/>
    <x v="6"/>
    <n v="4"/>
    <s v="Married"/>
    <n v="2157"/>
    <n v="18203"/>
    <n v="1"/>
    <s v="No"/>
    <n v="15"/>
    <n v="3"/>
    <n v="2"/>
    <n v="1"/>
    <n v="3"/>
    <n v="5"/>
    <n v="3"/>
    <n v="3"/>
    <n v="1"/>
    <n v="0"/>
    <n v="2"/>
    <x v="3"/>
    <n v="19413"/>
    <x v="1"/>
    <n v="0"/>
  </r>
  <r>
    <n v="35"/>
    <x v="1"/>
    <s v="Travel_Rarely"/>
    <n v="1219"/>
    <x v="0"/>
    <n v="18"/>
    <n v="3"/>
    <s v="Medical"/>
    <n v="975"/>
    <n v="3"/>
    <s v="Female"/>
    <n v="86"/>
    <n v="3"/>
    <n v="2"/>
    <x v="0"/>
    <n v="3"/>
    <s v="Married"/>
    <n v="4601"/>
    <n v="6179"/>
    <n v="1"/>
    <s v="No"/>
    <n v="16"/>
    <n v="3"/>
    <n v="2"/>
    <n v="0"/>
    <n v="5"/>
    <n v="3"/>
    <n v="3"/>
    <n v="5"/>
    <n v="2"/>
    <n v="1"/>
    <n v="0"/>
    <x v="0"/>
    <n v="41409"/>
    <x v="1"/>
    <n v="0"/>
  </r>
  <r>
    <n v="52"/>
    <x v="1"/>
    <s v="Travel_Rarely"/>
    <n v="1053"/>
    <x v="1"/>
    <n v="1"/>
    <n v="2"/>
    <s v="Life Sciences"/>
    <n v="976"/>
    <n v="4"/>
    <s v="Male"/>
    <n v="70"/>
    <n v="3"/>
    <n v="4"/>
    <x v="5"/>
    <n v="4"/>
    <s v="Married"/>
    <n v="17099"/>
    <n v="13829"/>
    <n v="2"/>
    <s v="No"/>
    <n v="15"/>
    <n v="3"/>
    <n v="2"/>
    <n v="1"/>
    <n v="26"/>
    <n v="2"/>
    <n v="2"/>
    <n v="9"/>
    <n v="8"/>
    <n v="7"/>
    <n v="8"/>
    <x v="1"/>
    <n v="153891"/>
    <x v="1"/>
    <n v="0"/>
  </r>
  <r>
    <n v="58"/>
    <x v="0"/>
    <s v="Travel_Rarely"/>
    <n v="289"/>
    <x v="1"/>
    <n v="2"/>
    <n v="3"/>
    <s v="Technical Degree"/>
    <n v="977"/>
    <n v="4"/>
    <s v="Male"/>
    <n v="51"/>
    <n v="3"/>
    <n v="1"/>
    <x v="1"/>
    <n v="3"/>
    <s v="Single"/>
    <n v="2479"/>
    <n v="26227"/>
    <n v="4"/>
    <s v="No"/>
    <n v="24"/>
    <n v="4"/>
    <n v="1"/>
    <n v="0"/>
    <n v="7"/>
    <n v="4"/>
    <n v="3"/>
    <n v="1"/>
    <n v="0"/>
    <n v="0"/>
    <n v="0"/>
    <x v="3"/>
    <n v="22311"/>
    <x v="1"/>
    <n v="22311"/>
  </r>
  <r>
    <n v="53"/>
    <x v="1"/>
    <s v="Travel_Rarely"/>
    <n v="1376"/>
    <x v="0"/>
    <n v="2"/>
    <n v="2"/>
    <s v="Medical"/>
    <n v="981"/>
    <n v="3"/>
    <s v="Male"/>
    <n v="45"/>
    <n v="3"/>
    <n v="4"/>
    <x v="5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  <x v="1"/>
    <n v="133668"/>
    <x v="1"/>
    <n v="0"/>
  </r>
  <r>
    <n v="30"/>
    <x v="1"/>
    <s v="Travel_Rarely"/>
    <n v="231"/>
    <x v="0"/>
    <n v="8"/>
    <n v="2"/>
    <s v="Other"/>
    <n v="982"/>
    <n v="3"/>
    <s v="Male"/>
    <n v="62"/>
    <n v="3"/>
    <n v="3"/>
    <x v="0"/>
    <n v="3"/>
    <s v="Divorced"/>
    <n v="7264"/>
    <n v="9977"/>
    <n v="5"/>
    <s v="No"/>
    <n v="11"/>
    <n v="3"/>
    <n v="1"/>
    <n v="1"/>
    <n v="10"/>
    <n v="2"/>
    <n v="4"/>
    <n v="8"/>
    <n v="4"/>
    <n v="7"/>
    <n v="7"/>
    <x v="1"/>
    <n v="65376"/>
    <x v="1"/>
    <n v="0"/>
  </r>
  <r>
    <n v="38"/>
    <x v="1"/>
    <s v="Non-Travel"/>
    <n v="152"/>
    <x v="0"/>
    <n v="10"/>
    <n v="3"/>
    <s v="Technical Degree"/>
    <n v="983"/>
    <n v="3"/>
    <s v="Female"/>
    <n v="85"/>
    <n v="3"/>
    <n v="2"/>
    <x v="0"/>
    <n v="4"/>
    <s v="Single"/>
    <n v="5666"/>
    <n v="19899"/>
    <n v="1"/>
    <s v="Yes"/>
    <n v="13"/>
    <n v="3"/>
    <n v="2"/>
    <n v="0"/>
    <n v="6"/>
    <n v="1"/>
    <n v="3"/>
    <n v="5"/>
    <n v="3"/>
    <n v="1"/>
    <n v="3"/>
    <x v="0"/>
    <n v="50994"/>
    <x v="0"/>
    <n v="0"/>
  </r>
  <r>
    <n v="35"/>
    <x v="1"/>
    <s v="Travel_Rarely"/>
    <n v="882"/>
    <x v="0"/>
    <n v="3"/>
    <n v="4"/>
    <s v="Life Sciences"/>
    <n v="984"/>
    <n v="4"/>
    <s v="Male"/>
    <n v="92"/>
    <n v="3"/>
    <n v="3"/>
    <x v="0"/>
    <n v="4"/>
    <s v="Divorced"/>
    <n v="7823"/>
    <n v="6812"/>
    <n v="6"/>
    <s v="No"/>
    <n v="13"/>
    <n v="3"/>
    <n v="2"/>
    <n v="1"/>
    <n v="12"/>
    <n v="2"/>
    <n v="3"/>
    <n v="10"/>
    <n v="9"/>
    <n v="0"/>
    <n v="8"/>
    <x v="1"/>
    <n v="70407"/>
    <x v="1"/>
    <n v="0"/>
  </r>
  <r>
    <n v="39"/>
    <x v="1"/>
    <s v="Travel_Rarely"/>
    <n v="903"/>
    <x v="0"/>
    <n v="2"/>
    <n v="5"/>
    <s v="Life Sciences"/>
    <n v="985"/>
    <n v="1"/>
    <s v="Male"/>
    <n v="41"/>
    <n v="4"/>
    <n v="3"/>
    <x v="0"/>
    <n v="3"/>
    <s v="Single"/>
    <n v="7880"/>
    <n v="2560"/>
    <n v="0"/>
    <s v="No"/>
    <n v="18"/>
    <n v="3"/>
    <n v="4"/>
    <n v="0"/>
    <n v="9"/>
    <n v="3"/>
    <n v="3"/>
    <n v="8"/>
    <n v="7"/>
    <n v="0"/>
    <n v="7"/>
    <x v="1"/>
    <n v="70920"/>
    <x v="1"/>
    <n v="0"/>
  </r>
  <r>
    <n v="40"/>
    <x v="0"/>
    <s v="Non-Travel"/>
    <n v="1479"/>
    <x v="0"/>
    <n v="24"/>
    <n v="3"/>
    <s v="Life Sciences"/>
    <n v="986"/>
    <n v="2"/>
    <s v="Female"/>
    <n v="100"/>
    <n v="4"/>
    <n v="4"/>
    <x v="0"/>
    <n v="2"/>
    <s v="Single"/>
    <n v="13194"/>
    <n v="17071"/>
    <n v="4"/>
    <s v="Yes"/>
    <n v="16"/>
    <n v="3"/>
    <n v="4"/>
    <n v="0"/>
    <n v="22"/>
    <n v="2"/>
    <n v="2"/>
    <n v="1"/>
    <n v="0"/>
    <n v="0"/>
    <n v="0"/>
    <x v="3"/>
    <n v="118746"/>
    <x v="2"/>
    <n v="118746"/>
  </r>
  <r>
    <n v="47"/>
    <x v="1"/>
    <s v="Travel_Frequently"/>
    <n v="1379"/>
    <x v="1"/>
    <n v="16"/>
    <n v="4"/>
    <s v="Medical"/>
    <n v="987"/>
    <n v="3"/>
    <s v="Male"/>
    <n v="64"/>
    <n v="4"/>
    <n v="2"/>
    <x v="3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  <x v="1"/>
    <n v="45603"/>
    <x v="0"/>
    <n v="0"/>
  </r>
  <r>
    <n v="36"/>
    <x v="1"/>
    <s v="Non-Travel"/>
    <n v="1229"/>
    <x v="0"/>
    <n v="8"/>
    <n v="4"/>
    <s v="Technical Degree"/>
    <n v="990"/>
    <n v="1"/>
    <s v="Male"/>
    <n v="84"/>
    <n v="3"/>
    <n v="2"/>
    <x v="0"/>
    <n v="4"/>
    <s v="Divorced"/>
    <n v="5079"/>
    <n v="25952"/>
    <n v="4"/>
    <s v="No"/>
    <n v="13"/>
    <n v="3"/>
    <n v="4"/>
    <n v="2"/>
    <n v="12"/>
    <n v="3"/>
    <n v="3"/>
    <n v="7"/>
    <n v="7"/>
    <n v="0"/>
    <n v="7"/>
    <x v="1"/>
    <n v="45711"/>
    <x v="1"/>
    <n v="0"/>
  </r>
  <r>
    <n v="31"/>
    <x v="0"/>
    <s v="Non-Travel"/>
    <n v="335"/>
    <x v="1"/>
    <n v="9"/>
    <n v="2"/>
    <s v="Medical"/>
    <n v="991"/>
    <n v="3"/>
    <s v="Male"/>
    <n v="46"/>
    <n v="2"/>
    <n v="1"/>
    <x v="1"/>
    <n v="1"/>
    <s v="Single"/>
    <n v="2321"/>
    <n v="10322"/>
    <n v="0"/>
    <s v="Yes"/>
    <n v="22"/>
    <n v="4"/>
    <n v="1"/>
    <n v="0"/>
    <n v="4"/>
    <n v="0"/>
    <n v="3"/>
    <n v="3"/>
    <n v="2"/>
    <n v="1"/>
    <n v="2"/>
    <x v="3"/>
    <n v="20889"/>
    <x v="2"/>
    <n v="20889"/>
  </r>
  <r>
    <n v="33"/>
    <x v="1"/>
    <s v="Non-Travel"/>
    <n v="722"/>
    <x v="0"/>
    <n v="17"/>
    <n v="3"/>
    <s v="Life Sciences"/>
    <n v="992"/>
    <n v="4"/>
    <s v="Male"/>
    <n v="38"/>
    <n v="3"/>
    <n v="4"/>
    <x v="5"/>
    <n v="3"/>
    <s v="Single"/>
    <n v="17444"/>
    <n v="20489"/>
    <n v="1"/>
    <s v="No"/>
    <n v="11"/>
    <n v="3"/>
    <n v="4"/>
    <n v="0"/>
    <n v="10"/>
    <n v="2"/>
    <n v="3"/>
    <n v="10"/>
    <n v="8"/>
    <n v="6"/>
    <n v="0"/>
    <x v="1"/>
    <n v="156996"/>
    <x v="1"/>
    <n v="0"/>
  </r>
  <r>
    <n v="29"/>
    <x v="0"/>
    <s v="Travel_Rarely"/>
    <n v="906"/>
    <x v="1"/>
    <n v="10"/>
    <n v="3"/>
    <s v="Life Sciences"/>
    <n v="994"/>
    <n v="4"/>
    <s v="Female"/>
    <n v="92"/>
    <n v="2"/>
    <n v="1"/>
    <x v="1"/>
    <n v="1"/>
    <s v="Single"/>
    <n v="2404"/>
    <n v="11479"/>
    <n v="6"/>
    <s v="Yes"/>
    <n v="20"/>
    <n v="4"/>
    <n v="3"/>
    <n v="0"/>
    <n v="3"/>
    <n v="5"/>
    <n v="3"/>
    <n v="0"/>
    <n v="0"/>
    <n v="0"/>
    <n v="0"/>
    <x v="2"/>
    <n v="21636"/>
    <x v="2"/>
    <n v="21636"/>
  </r>
  <r>
    <n v="33"/>
    <x v="1"/>
    <s v="Travel_Rarely"/>
    <n v="461"/>
    <x v="1"/>
    <n v="13"/>
    <n v="1"/>
    <s v="Life Sciences"/>
    <n v="995"/>
    <n v="2"/>
    <s v="Female"/>
    <n v="53"/>
    <n v="3"/>
    <n v="1"/>
    <x v="1"/>
    <n v="4"/>
    <s v="Single"/>
    <n v="3452"/>
    <n v="17241"/>
    <n v="3"/>
    <s v="No"/>
    <n v="18"/>
    <n v="3"/>
    <n v="1"/>
    <n v="0"/>
    <n v="5"/>
    <n v="4"/>
    <n v="3"/>
    <n v="3"/>
    <n v="2"/>
    <n v="0"/>
    <n v="2"/>
    <x v="3"/>
    <n v="31068"/>
    <x v="1"/>
    <n v="0"/>
  </r>
  <r>
    <n v="45"/>
    <x v="1"/>
    <s v="Travel_Rarely"/>
    <n v="974"/>
    <x v="1"/>
    <n v="1"/>
    <n v="4"/>
    <s v="Medical"/>
    <n v="996"/>
    <n v="4"/>
    <s v="Female"/>
    <n v="91"/>
    <n v="3"/>
    <n v="1"/>
    <x v="2"/>
    <n v="4"/>
    <s v="Divorced"/>
    <n v="2270"/>
    <n v="11005"/>
    <n v="3"/>
    <s v="No"/>
    <n v="14"/>
    <n v="3"/>
    <n v="4"/>
    <n v="2"/>
    <n v="8"/>
    <n v="2"/>
    <n v="3"/>
    <n v="5"/>
    <n v="3"/>
    <n v="0"/>
    <n v="2"/>
    <x v="0"/>
    <n v="20430"/>
    <x v="1"/>
    <n v="0"/>
  </r>
  <r>
    <n v="50"/>
    <x v="1"/>
    <s v="Travel_Rarely"/>
    <n v="1126"/>
    <x v="1"/>
    <n v="1"/>
    <n v="2"/>
    <s v="Medical"/>
    <n v="997"/>
    <n v="4"/>
    <s v="Male"/>
    <n v="66"/>
    <n v="3"/>
    <n v="4"/>
    <x v="7"/>
    <n v="4"/>
    <s v="Divorced"/>
    <n v="17399"/>
    <n v="6615"/>
    <n v="9"/>
    <s v="No"/>
    <n v="22"/>
    <n v="4"/>
    <n v="3"/>
    <n v="1"/>
    <n v="32"/>
    <n v="1"/>
    <n v="2"/>
    <n v="5"/>
    <n v="4"/>
    <n v="1"/>
    <n v="3"/>
    <x v="0"/>
    <n v="156591"/>
    <x v="1"/>
    <n v="0"/>
  </r>
  <r>
    <n v="33"/>
    <x v="1"/>
    <s v="Travel_Frequently"/>
    <n v="827"/>
    <x v="1"/>
    <n v="1"/>
    <n v="4"/>
    <s v="Other"/>
    <n v="998"/>
    <n v="3"/>
    <s v="Female"/>
    <n v="84"/>
    <n v="4"/>
    <n v="2"/>
    <x v="4"/>
    <n v="2"/>
    <s v="Married"/>
    <n v="5488"/>
    <n v="20161"/>
    <n v="1"/>
    <s v="Yes"/>
    <n v="13"/>
    <n v="3"/>
    <n v="1"/>
    <n v="1"/>
    <n v="6"/>
    <n v="2"/>
    <n v="3"/>
    <n v="6"/>
    <n v="5"/>
    <n v="1"/>
    <n v="2"/>
    <x v="0"/>
    <n v="49392"/>
    <x v="0"/>
    <n v="0"/>
  </r>
  <r>
    <n v="41"/>
    <x v="1"/>
    <s v="Travel_Frequently"/>
    <n v="840"/>
    <x v="1"/>
    <n v="9"/>
    <n v="3"/>
    <s v="Medical"/>
    <n v="999"/>
    <n v="1"/>
    <s v="Male"/>
    <n v="64"/>
    <n v="3"/>
    <n v="5"/>
    <x v="7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  <x v="1"/>
    <n v="174771"/>
    <x v="1"/>
    <n v="0"/>
  </r>
  <r>
    <n v="27"/>
    <x v="1"/>
    <s v="Travel_Rarely"/>
    <n v="1134"/>
    <x v="1"/>
    <n v="16"/>
    <n v="4"/>
    <s v="Technical Degree"/>
    <n v="1001"/>
    <n v="3"/>
    <s v="Female"/>
    <n v="37"/>
    <n v="3"/>
    <n v="1"/>
    <x v="2"/>
    <n v="2"/>
    <s v="Married"/>
    <n v="2811"/>
    <n v="12086"/>
    <n v="9"/>
    <s v="No"/>
    <n v="14"/>
    <n v="3"/>
    <n v="2"/>
    <n v="1"/>
    <n v="4"/>
    <n v="2"/>
    <n v="3"/>
    <n v="2"/>
    <n v="2"/>
    <n v="2"/>
    <n v="2"/>
    <x v="3"/>
    <n v="25299"/>
    <x v="0"/>
    <n v="0"/>
  </r>
  <r>
    <n v="45"/>
    <x v="1"/>
    <s v="Non-Travel"/>
    <n v="248"/>
    <x v="1"/>
    <n v="23"/>
    <n v="2"/>
    <s v="Life Sciences"/>
    <n v="1002"/>
    <n v="4"/>
    <s v="Male"/>
    <n v="42"/>
    <n v="3"/>
    <n v="2"/>
    <x v="2"/>
    <n v="1"/>
    <s v="Married"/>
    <n v="3633"/>
    <n v="14039"/>
    <n v="1"/>
    <s v="Yes"/>
    <n v="15"/>
    <n v="3"/>
    <n v="3"/>
    <n v="1"/>
    <n v="9"/>
    <n v="2"/>
    <n v="3"/>
    <n v="9"/>
    <n v="8"/>
    <n v="0"/>
    <n v="8"/>
    <x v="1"/>
    <n v="32697"/>
    <x v="0"/>
    <n v="0"/>
  </r>
  <r>
    <n v="47"/>
    <x v="1"/>
    <s v="Travel_Rarely"/>
    <n v="955"/>
    <x v="0"/>
    <n v="4"/>
    <n v="2"/>
    <s v="Life Sciences"/>
    <n v="1003"/>
    <n v="4"/>
    <s v="Female"/>
    <n v="83"/>
    <n v="3"/>
    <n v="2"/>
    <x v="0"/>
    <n v="4"/>
    <s v="Single"/>
    <n v="4163"/>
    <n v="8571"/>
    <n v="1"/>
    <s v="Yes"/>
    <n v="17"/>
    <n v="3"/>
    <n v="3"/>
    <n v="0"/>
    <n v="9"/>
    <n v="0"/>
    <n v="3"/>
    <n v="9"/>
    <n v="0"/>
    <n v="0"/>
    <n v="7"/>
    <x v="1"/>
    <n v="37467"/>
    <x v="0"/>
    <n v="0"/>
  </r>
  <r>
    <n v="30"/>
    <x v="0"/>
    <s v="Travel_Rarely"/>
    <n v="138"/>
    <x v="1"/>
    <n v="22"/>
    <n v="3"/>
    <s v="Life Sciences"/>
    <n v="1004"/>
    <n v="1"/>
    <s v="Female"/>
    <n v="48"/>
    <n v="3"/>
    <n v="1"/>
    <x v="1"/>
    <n v="3"/>
    <s v="Married"/>
    <n v="2132"/>
    <n v="11539"/>
    <n v="4"/>
    <s v="Yes"/>
    <n v="11"/>
    <n v="3"/>
    <n v="2"/>
    <n v="0"/>
    <n v="7"/>
    <n v="2"/>
    <n v="3"/>
    <n v="5"/>
    <n v="2"/>
    <n v="0"/>
    <n v="1"/>
    <x v="0"/>
    <n v="19188"/>
    <x v="0"/>
    <n v="19188"/>
  </r>
  <r>
    <n v="50"/>
    <x v="1"/>
    <s v="Travel_Rarely"/>
    <n v="939"/>
    <x v="1"/>
    <n v="24"/>
    <n v="3"/>
    <s v="Life Sciences"/>
    <n v="1005"/>
    <n v="4"/>
    <s v="Male"/>
    <n v="95"/>
    <n v="3"/>
    <n v="4"/>
    <x v="3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  <x v="1"/>
    <n v="125757"/>
    <x v="0"/>
    <n v="0"/>
  </r>
  <r>
    <n v="38"/>
    <x v="1"/>
    <s v="Travel_Frequently"/>
    <n v="1391"/>
    <x v="1"/>
    <n v="10"/>
    <n v="1"/>
    <s v="Medical"/>
    <n v="1006"/>
    <n v="3"/>
    <s v="Male"/>
    <n v="66"/>
    <n v="3"/>
    <n v="1"/>
    <x v="1"/>
    <n v="3"/>
    <s v="Married"/>
    <n v="2684"/>
    <n v="12127"/>
    <n v="0"/>
    <s v="No"/>
    <n v="17"/>
    <n v="3"/>
    <n v="2"/>
    <n v="1"/>
    <n v="3"/>
    <n v="0"/>
    <n v="2"/>
    <n v="2"/>
    <n v="1"/>
    <n v="0"/>
    <n v="2"/>
    <x v="3"/>
    <n v="24156"/>
    <x v="1"/>
    <n v="0"/>
  </r>
  <r>
    <n v="46"/>
    <x v="1"/>
    <s v="Travel_Rarely"/>
    <n v="566"/>
    <x v="1"/>
    <n v="7"/>
    <n v="2"/>
    <s v="Medical"/>
    <n v="1007"/>
    <n v="4"/>
    <s v="Male"/>
    <n v="75"/>
    <n v="3"/>
    <n v="3"/>
    <x v="3"/>
    <n v="3"/>
    <s v="Divorced"/>
    <n v="10845"/>
    <n v="24208"/>
    <n v="6"/>
    <s v="No"/>
    <n v="13"/>
    <n v="3"/>
    <n v="2"/>
    <n v="1"/>
    <n v="13"/>
    <n v="3"/>
    <n v="3"/>
    <n v="8"/>
    <n v="7"/>
    <n v="0"/>
    <n v="7"/>
    <x v="1"/>
    <n v="97605"/>
    <x v="1"/>
    <n v="0"/>
  </r>
  <r>
    <n v="24"/>
    <x v="1"/>
    <s v="Travel_Rarely"/>
    <n v="1206"/>
    <x v="1"/>
    <n v="17"/>
    <n v="1"/>
    <s v="Medical"/>
    <n v="1009"/>
    <n v="4"/>
    <s v="Female"/>
    <n v="41"/>
    <n v="2"/>
    <n v="2"/>
    <x v="3"/>
    <n v="3"/>
    <s v="Divorced"/>
    <n v="4377"/>
    <n v="24117"/>
    <n v="1"/>
    <s v="No"/>
    <n v="15"/>
    <n v="3"/>
    <n v="2"/>
    <n v="2"/>
    <n v="5"/>
    <n v="6"/>
    <n v="3"/>
    <n v="4"/>
    <n v="2"/>
    <n v="3"/>
    <n v="2"/>
    <x v="0"/>
    <n v="39393"/>
    <x v="1"/>
    <n v="0"/>
  </r>
  <r>
    <n v="35"/>
    <x v="0"/>
    <s v="Travel_Rarely"/>
    <n v="622"/>
    <x v="1"/>
    <n v="14"/>
    <n v="4"/>
    <s v="Other"/>
    <n v="1010"/>
    <n v="3"/>
    <s v="Male"/>
    <n v="39"/>
    <n v="2"/>
    <n v="1"/>
    <x v="2"/>
    <n v="2"/>
    <s v="Divorced"/>
    <n v="3743"/>
    <n v="10074"/>
    <n v="1"/>
    <s v="Yes"/>
    <n v="24"/>
    <n v="4"/>
    <n v="4"/>
    <n v="1"/>
    <n v="5"/>
    <n v="2"/>
    <n v="1"/>
    <n v="4"/>
    <n v="2"/>
    <n v="0"/>
    <n v="2"/>
    <x v="0"/>
    <n v="33687"/>
    <x v="0"/>
    <n v="33687"/>
  </r>
  <r>
    <n v="31"/>
    <x v="1"/>
    <s v="Travel_Frequently"/>
    <n v="853"/>
    <x v="1"/>
    <n v="1"/>
    <n v="1"/>
    <s v="Life Sciences"/>
    <n v="1011"/>
    <n v="3"/>
    <s v="Female"/>
    <n v="96"/>
    <n v="3"/>
    <n v="2"/>
    <x v="3"/>
    <n v="1"/>
    <s v="Married"/>
    <n v="4148"/>
    <n v="11275"/>
    <n v="1"/>
    <s v="No"/>
    <n v="12"/>
    <n v="3"/>
    <n v="3"/>
    <n v="1"/>
    <n v="4"/>
    <n v="1"/>
    <n v="3"/>
    <n v="4"/>
    <n v="3"/>
    <n v="0"/>
    <n v="3"/>
    <x v="0"/>
    <n v="37332"/>
    <x v="0"/>
    <n v="0"/>
  </r>
  <r>
    <n v="18"/>
    <x v="1"/>
    <s v="Non-Travel"/>
    <n v="287"/>
    <x v="1"/>
    <n v="5"/>
    <n v="2"/>
    <s v="Life Sciences"/>
    <n v="1012"/>
    <n v="2"/>
    <s v="Male"/>
    <n v="73"/>
    <n v="3"/>
    <n v="1"/>
    <x v="1"/>
    <n v="4"/>
    <s v="Single"/>
    <n v="1051"/>
    <n v="13493"/>
    <n v="1"/>
    <s v="No"/>
    <n v="15"/>
    <n v="3"/>
    <n v="4"/>
    <n v="0"/>
    <n v="0"/>
    <n v="2"/>
    <n v="3"/>
    <n v="0"/>
    <n v="0"/>
    <n v="0"/>
    <n v="0"/>
    <x v="2"/>
    <n v="9459"/>
    <x v="1"/>
    <n v="0"/>
  </r>
  <r>
    <n v="54"/>
    <x v="1"/>
    <s v="Travel_Rarely"/>
    <n v="1441"/>
    <x v="1"/>
    <n v="17"/>
    <n v="3"/>
    <s v="Technical Degree"/>
    <n v="1013"/>
    <n v="3"/>
    <s v="Female"/>
    <n v="56"/>
    <n v="3"/>
    <n v="3"/>
    <x v="3"/>
    <n v="3"/>
    <s v="Married"/>
    <n v="10739"/>
    <n v="13943"/>
    <n v="8"/>
    <s v="No"/>
    <n v="11"/>
    <n v="3"/>
    <n v="3"/>
    <n v="1"/>
    <n v="22"/>
    <n v="2"/>
    <n v="3"/>
    <n v="10"/>
    <n v="7"/>
    <n v="0"/>
    <n v="8"/>
    <x v="1"/>
    <n v="96651"/>
    <x v="1"/>
    <n v="0"/>
  </r>
  <r>
    <n v="35"/>
    <x v="1"/>
    <s v="Travel_Rarely"/>
    <n v="583"/>
    <x v="1"/>
    <n v="25"/>
    <n v="4"/>
    <s v="Medical"/>
    <n v="1014"/>
    <n v="3"/>
    <s v="Female"/>
    <n v="57"/>
    <n v="3"/>
    <n v="3"/>
    <x v="4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  <x v="1"/>
    <n v="93492"/>
    <x v="0"/>
    <n v="0"/>
  </r>
  <r>
    <n v="30"/>
    <x v="1"/>
    <s v="Travel_Rarely"/>
    <n v="153"/>
    <x v="1"/>
    <n v="8"/>
    <n v="2"/>
    <s v="Life Sciences"/>
    <n v="1015"/>
    <n v="2"/>
    <s v="Female"/>
    <n v="73"/>
    <n v="4"/>
    <n v="3"/>
    <x v="7"/>
    <n v="1"/>
    <s v="Married"/>
    <n v="11416"/>
    <n v="17802"/>
    <n v="0"/>
    <s v="Yes"/>
    <n v="12"/>
    <n v="3"/>
    <n v="3"/>
    <n v="3"/>
    <n v="9"/>
    <n v="4"/>
    <n v="2"/>
    <n v="8"/>
    <n v="7"/>
    <n v="1"/>
    <n v="7"/>
    <x v="1"/>
    <n v="102744"/>
    <x v="0"/>
    <n v="0"/>
  </r>
  <r>
    <n v="20"/>
    <x v="0"/>
    <s v="Travel_Rarely"/>
    <n v="1097"/>
    <x v="1"/>
    <n v="11"/>
    <n v="3"/>
    <s v="Medical"/>
    <n v="1016"/>
    <n v="4"/>
    <s v="Female"/>
    <n v="98"/>
    <n v="2"/>
    <n v="1"/>
    <x v="1"/>
    <n v="1"/>
    <s v="Single"/>
    <n v="2600"/>
    <n v="18275"/>
    <n v="1"/>
    <s v="Yes"/>
    <n v="15"/>
    <n v="3"/>
    <n v="1"/>
    <n v="0"/>
    <n v="1"/>
    <n v="2"/>
    <n v="3"/>
    <n v="1"/>
    <n v="0"/>
    <n v="0"/>
    <n v="0"/>
    <x v="3"/>
    <n v="23400"/>
    <x v="2"/>
    <n v="23400"/>
  </r>
  <r>
    <n v="30"/>
    <x v="0"/>
    <s v="Travel_Frequently"/>
    <n v="109"/>
    <x v="1"/>
    <n v="5"/>
    <n v="3"/>
    <s v="Medical"/>
    <n v="1017"/>
    <n v="2"/>
    <s v="Female"/>
    <n v="60"/>
    <n v="3"/>
    <n v="1"/>
    <x v="2"/>
    <n v="2"/>
    <s v="Single"/>
    <n v="2422"/>
    <n v="25725"/>
    <n v="0"/>
    <s v="No"/>
    <n v="17"/>
    <n v="3"/>
    <n v="1"/>
    <n v="0"/>
    <n v="4"/>
    <n v="3"/>
    <n v="3"/>
    <n v="3"/>
    <n v="2"/>
    <n v="1"/>
    <n v="2"/>
    <x v="3"/>
    <n v="21798"/>
    <x v="0"/>
    <n v="21798"/>
  </r>
  <r>
    <n v="26"/>
    <x v="1"/>
    <s v="Travel_Rarely"/>
    <n v="1066"/>
    <x v="1"/>
    <n v="2"/>
    <n v="2"/>
    <s v="Medical"/>
    <n v="1018"/>
    <n v="4"/>
    <s v="Male"/>
    <n v="32"/>
    <n v="4"/>
    <n v="2"/>
    <x v="3"/>
    <n v="4"/>
    <s v="Married"/>
    <n v="5472"/>
    <n v="3334"/>
    <n v="1"/>
    <s v="No"/>
    <n v="12"/>
    <n v="3"/>
    <n v="2"/>
    <n v="0"/>
    <n v="8"/>
    <n v="2"/>
    <n v="3"/>
    <n v="8"/>
    <n v="7"/>
    <n v="1"/>
    <n v="3"/>
    <x v="1"/>
    <n v="49248"/>
    <x v="1"/>
    <n v="0"/>
  </r>
  <r>
    <n v="22"/>
    <x v="1"/>
    <s v="Travel_Rarely"/>
    <n v="217"/>
    <x v="1"/>
    <n v="8"/>
    <n v="1"/>
    <s v="Life Sciences"/>
    <n v="1019"/>
    <n v="2"/>
    <s v="Male"/>
    <n v="94"/>
    <n v="1"/>
    <n v="1"/>
    <x v="2"/>
    <n v="1"/>
    <s v="Married"/>
    <n v="2451"/>
    <n v="6881"/>
    <n v="1"/>
    <s v="No"/>
    <n v="15"/>
    <n v="3"/>
    <n v="1"/>
    <n v="1"/>
    <n v="4"/>
    <n v="3"/>
    <n v="2"/>
    <n v="4"/>
    <n v="3"/>
    <n v="1"/>
    <n v="1"/>
    <x v="0"/>
    <n v="22059"/>
    <x v="0"/>
    <n v="0"/>
  </r>
  <r>
    <n v="48"/>
    <x v="1"/>
    <s v="Travel_Rarely"/>
    <n v="277"/>
    <x v="1"/>
    <n v="6"/>
    <n v="3"/>
    <s v="Life Sciences"/>
    <n v="1022"/>
    <n v="1"/>
    <s v="Male"/>
    <n v="97"/>
    <n v="2"/>
    <n v="2"/>
    <x v="4"/>
    <n v="3"/>
    <s v="Single"/>
    <n v="4240"/>
    <n v="13119"/>
    <n v="2"/>
    <s v="No"/>
    <n v="13"/>
    <n v="3"/>
    <n v="4"/>
    <n v="0"/>
    <n v="19"/>
    <n v="0"/>
    <n v="3"/>
    <n v="2"/>
    <n v="2"/>
    <n v="2"/>
    <n v="2"/>
    <x v="3"/>
    <n v="38160"/>
    <x v="1"/>
    <n v="0"/>
  </r>
  <r>
    <n v="48"/>
    <x v="1"/>
    <s v="Travel_Rarely"/>
    <n v="1355"/>
    <x v="1"/>
    <n v="4"/>
    <n v="4"/>
    <s v="Life Sciences"/>
    <n v="1024"/>
    <n v="3"/>
    <s v="Male"/>
    <n v="78"/>
    <n v="2"/>
    <n v="3"/>
    <x v="4"/>
    <n v="3"/>
    <s v="Single"/>
    <n v="10999"/>
    <n v="22245"/>
    <n v="7"/>
    <s v="No"/>
    <n v="14"/>
    <n v="3"/>
    <n v="2"/>
    <n v="0"/>
    <n v="27"/>
    <n v="3"/>
    <n v="3"/>
    <n v="15"/>
    <n v="11"/>
    <n v="4"/>
    <n v="8"/>
    <x v="1"/>
    <n v="98991"/>
    <x v="1"/>
    <n v="0"/>
  </r>
  <r>
    <n v="41"/>
    <x v="1"/>
    <s v="Travel_Rarely"/>
    <n v="549"/>
    <x v="1"/>
    <n v="7"/>
    <n v="2"/>
    <s v="Medical"/>
    <n v="1025"/>
    <n v="4"/>
    <s v="Female"/>
    <n v="42"/>
    <n v="3"/>
    <n v="2"/>
    <x v="3"/>
    <n v="3"/>
    <s v="Single"/>
    <n v="5003"/>
    <n v="23371"/>
    <n v="6"/>
    <s v="No"/>
    <n v="14"/>
    <n v="3"/>
    <n v="2"/>
    <n v="0"/>
    <n v="8"/>
    <n v="6"/>
    <n v="3"/>
    <n v="2"/>
    <n v="2"/>
    <n v="2"/>
    <n v="1"/>
    <x v="3"/>
    <n v="45027"/>
    <x v="1"/>
    <n v="0"/>
  </r>
  <r>
    <n v="39"/>
    <x v="1"/>
    <s v="Travel_Rarely"/>
    <n v="466"/>
    <x v="1"/>
    <n v="1"/>
    <n v="1"/>
    <s v="Life Sciences"/>
    <n v="1026"/>
    <n v="4"/>
    <s v="Female"/>
    <n v="65"/>
    <n v="2"/>
    <n v="4"/>
    <x v="3"/>
    <n v="4"/>
    <s v="Married"/>
    <n v="12742"/>
    <n v="7060"/>
    <n v="1"/>
    <s v="No"/>
    <n v="16"/>
    <n v="3"/>
    <n v="3"/>
    <n v="1"/>
    <n v="21"/>
    <n v="3"/>
    <n v="3"/>
    <n v="21"/>
    <n v="6"/>
    <n v="11"/>
    <n v="8"/>
    <x v="1"/>
    <n v="114678"/>
    <x v="1"/>
    <n v="0"/>
  </r>
  <r>
    <n v="27"/>
    <x v="1"/>
    <s v="Travel_Rarely"/>
    <n v="1055"/>
    <x v="1"/>
    <n v="2"/>
    <n v="4"/>
    <s v="Life Sciences"/>
    <n v="1027"/>
    <n v="1"/>
    <s v="Female"/>
    <n v="47"/>
    <n v="3"/>
    <n v="2"/>
    <x v="3"/>
    <n v="4"/>
    <s v="Married"/>
    <n v="4227"/>
    <n v="4658"/>
    <n v="0"/>
    <s v="No"/>
    <n v="18"/>
    <n v="3"/>
    <n v="2"/>
    <n v="1"/>
    <n v="4"/>
    <n v="2"/>
    <n v="3"/>
    <n v="3"/>
    <n v="2"/>
    <n v="2"/>
    <n v="2"/>
    <x v="3"/>
    <n v="38043"/>
    <x v="1"/>
    <n v="0"/>
  </r>
  <r>
    <n v="35"/>
    <x v="1"/>
    <s v="Travel_Rarely"/>
    <n v="802"/>
    <x v="1"/>
    <n v="10"/>
    <n v="3"/>
    <s v="Other"/>
    <n v="1028"/>
    <n v="2"/>
    <s v="Male"/>
    <n v="45"/>
    <n v="3"/>
    <n v="1"/>
    <x v="2"/>
    <n v="4"/>
    <s v="Divorced"/>
    <n v="3917"/>
    <n v="9541"/>
    <n v="1"/>
    <s v="No"/>
    <n v="20"/>
    <n v="4"/>
    <n v="1"/>
    <n v="1"/>
    <n v="3"/>
    <n v="4"/>
    <n v="2"/>
    <n v="3"/>
    <n v="2"/>
    <n v="1"/>
    <n v="2"/>
    <x v="3"/>
    <n v="35253"/>
    <x v="1"/>
    <n v="0"/>
  </r>
  <r>
    <n v="42"/>
    <x v="1"/>
    <s v="Travel_Rarely"/>
    <n v="265"/>
    <x v="0"/>
    <n v="5"/>
    <n v="2"/>
    <s v="Marketing"/>
    <n v="1029"/>
    <n v="4"/>
    <s v="Male"/>
    <n v="90"/>
    <n v="3"/>
    <n v="5"/>
    <x v="5"/>
    <n v="3"/>
    <s v="Married"/>
    <n v="18303"/>
    <n v="7770"/>
    <n v="6"/>
    <s v="No"/>
    <n v="13"/>
    <n v="3"/>
    <n v="2"/>
    <n v="0"/>
    <n v="21"/>
    <n v="3"/>
    <n v="4"/>
    <n v="1"/>
    <n v="0"/>
    <n v="0"/>
    <n v="0"/>
    <x v="3"/>
    <n v="164727"/>
    <x v="1"/>
    <n v="0"/>
  </r>
  <r>
    <n v="50"/>
    <x v="1"/>
    <s v="Travel_Rarely"/>
    <n v="804"/>
    <x v="1"/>
    <n v="9"/>
    <n v="3"/>
    <s v="Life Sciences"/>
    <n v="1030"/>
    <n v="1"/>
    <s v="Male"/>
    <n v="64"/>
    <n v="3"/>
    <n v="1"/>
    <x v="2"/>
    <n v="4"/>
    <s v="Married"/>
    <n v="2380"/>
    <n v="20165"/>
    <n v="4"/>
    <s v="No"/>
    <n v="18"/>
    <n v="3"/>
    <n v="2"/>
    <n v="0"/>
    <n v="8"/>
    <n v="5"/>
    <n v="3"/>
    <n v="1"/>
    <n v="0"/>
    <n v="0"/>
    <n v="0"/>
    <x v="3"/>
    <n v="21420"/>
    <x v="1"/>
    <n v="0"/>
  </r>
  <r>
    <n v="59"/>
    <x v="1"/>
    <s v="Travel_Rarely"/>
    <n v="715"/>
    <x v="1"/>
    <n v="2"/>
    <n v="3"/>
    <s v="Life Sciences"/>
    <n v="1032"/>
    <n v="3"/>
    <s v="Female"/>
    <n v="69"/>
    <n v="2"/>
    <n v="4"/>
    <x v="3"/>
    <n v="4"/>
    <s v="Single"/>
    <n v="13726"/>
    <n v="21829"/>
    <n v="3"/>
    <s v="Yes"/>
    <n v="13"/>
    <n v="3"/>
    <n v="1"/>
    <n v="0"/>
    <n v="30"/>
    <n v="4"/>
    <n v="3"/>
    <n v="5"/>
    <n v="3"/>
    <n v="4"/>
    <n v="3"/>
    <x v="0"/>
    <n v="123534"/>
    <x v="0"/>
    <n v="0"/>
  </r>
  <r>
    <n v="37"/>
    <x v="0"/>
    <s v="Travel_Rarely"/>
    <n v="1141"/>
    <x v="1"/>
    <n v="11"/>
    <n v="2"/>
    <s v="Medical"/>
    <n v="1033"/>
    <n v="1"/>
    <s v="Female"/>
    <n v="61"/>
    <n v="1"/>
    <n v="2"/>
    <x v="4"/>
    <n v="2"/>
    <s v="Married"/>
    <n v="4777"/>
    <n v="14382"/>
    <n v="5"/>
    <s v="No"/>
    <n v="15"/>
    <n v="3"/>
    <n v="1"/>
    <n v="0"/>
    <n v="15"/>
    <n v="2"/>
    <n v="1"/>
    <n v="1"/>
    <n v="0"/>
    <n v="0"/>
    <n v="0"/>
    <x v="3"/>
    <n v="42993"/>
    <x v="0"/>
    <n v="42993"/>
  </r>
  <r>
    <n v="55"/>
    <x v="1"/>
    <s v="Travel_Frequently"/>
    <n v="135"/>
    <x v="1"/>
    <n v="18"/>
    <n v="4"/>
    <s v="Medical"/>
    <n v="1034"/>
    <n v="3"/>
    <s v="Male"/>
    <n v="62"/>
    <n v="3"/>
    <n v="2"/>
    <x v="4"/>
    <n v="2"/>
    <s v="Married"/>
    <n v="6385"/>
    <n v="12992"/>
    <n v="3"/>
    <s v="Yes"/>
    <n v="14"/>
    <n v="3"/>
    <n v="4"/>
    <n v="2"/>
    <n v="17"/>
    <n v="3"/>
    <n v="3"/>
    <n v="8"/>
    <n v="7"/>
    <n v="6"/>
    <n v="7"/>
    <x v="1"/>
    <n v="57465"/>
    <x v="0"/>
    <n v="0"/>
  </r>
  <r>
    <n v="41"/>
    <x v="1"/>
    <s v="Non-Travel"/>
    <n v="247"/>
    <x v="1"/>
    <n v="7"/>
    <n v="1"/>
    <s v="Life Sciences"/>
    <n v="1035"/>
    <n v="2"/>
    <s v="Female"/>
    <n v="55"/>
    <n v="1"/>
    <n v="5"/>
    <x v="7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  <x v="1"/>
    <n v="179757"/>
    <x v="1"/>
    <n v="0"/>
  </r>
  <r>
    <n v="38"/>
    <x v="1"/>
    <s v="Travel_Rarely"/>
    <n v="1035"/>
    <x v="0"/>
    <n v="3"/>
    <n v="4"/>
    <s v="Life Sciences"/>
    <n v="1036"/>
    <n v="2"/>
    <s v="Male"/>
    <n v="42"/>
    <n v="3"/>
    <n v="2"/>
    <x v="0"/>
    <n v="4"/>
    <s v="Single"/>
    <n v="6861"/>
    <n v="4981"/>
    <n v="8"/>
    <s v="Yes"/>
    <n v="12"/>
    <n v="3"/>
    <n v="3"/>
    <n v="0"/>
    <n v="19"/>
    <n v="1"/>
    <n v="3"/>
    <n v="1"/>
    <n v="0"/>
    <n v="0"/>
    <n v="0"/>
    <x v="3"/>
    <n v="61749"/>
    <x v="0"/>
    <n v="0"/>
  </r>
  <r>
    <n v="26"/>
    <x v="0"/>
    <s v="Non-Travel"/>
    <n v="265"/>
    <x v="0"/>
    <n v="29"/>
    <n v="2"/>
    <s v="Medical"/>
    <n v="1037"/>
    <n v="2"/>
    <s v="Male"/>
    <n v="79"/>
    <n v="1"/>
    <n v="2"/>
    <x v="0"/>
    <n v="1"/>
    <s v="Single"/>
    <n v="4969"/>
    <n v="21813"/>
    <n v="8"/>
    <s v="No"/>
    <n v="18"/>
    <n v="3"/>
    <n v="4"/>
    <n v="0"/>
    <n v="7"/>
    <n v="6"/>
    <n v="3"/>
    <n v="2"/>
    <n v="2"/>
    <n v="2"/>
    <n v="2"/>
    <x v="3"/>
    <n v="44721"/>
    <x v="0"/>
    <n v="44721"/>
  </r>
  <r>
    <n v="52"/>
    <x v="0"/>
    <s v="Travel_Rarely"/>
    <n v="266"/>
    <x v="0"/>
    <n v="2"/>
    <n v="1"/>
    <s v="Marketing"/>
    <n v="1038"/>
    <n v="1"/>
    <s v="Female"/>
    <n v="57"/>
    <n v="1"/>
    <n v="5"/>
    <x v="5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  <x v="1"/>
    <n v="178605"/>
    <x v="1"/>
    <n v="178605"/>
  </r>
  <r>
    <n v="44"/>
    <x v="1"/>
    <s v="Travel_Rarely"/>
    <n v="1448"/>
    <x v="0"/>
    <n v="28"/>
    <n v="3"/>
    <s v="Medical"/>
    <n v="1039"/>
    <n v="4"/>
    <s v="Female"/>
    <n v="53"/>
    <n v="4"/>
    <n v="4"/>
    <x v="0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  <x v="1"/>
    <n v="119880"/>
    <x v="0"/>
    <n v="0"/>
  </r>
  <r>
    <n v="50"/>
    <x v="1"/>
    <s v="Non-Travel"/>
    <n v="145"/>
    <x v="0"/>
    <n v="1"/>
    <n v="3"/>
    <s v="Life Sciences"/>
    <n v="1040"/>
    <n v="4"/>
    <s v="Female"/>
    <n v="95"/>
    <n v="3"/>
    <n v="2"/>
    <x v="0"/>
    <n v="3"/>
    <s v="Married"/>
    <n v="6347"/>
    <n v="24920"/>
    <n v="0"/>
    <s v="No"/>
    <n v="12"/>
    <n v="3"/>
    <n v="1"/>
    <n v="1"/>
    <n v="19"/>
    <n v="3"/>
    <n v="3"/>
    <n v="18"/>
    <n v="7"/>
    <n v="0"/>
    <n v="13"/>
    <x v="1"/>
    <n v="57123"/>
    <x v="1"/>
    <n v="0"/>
  </r>
  <r>
    <n v="36"/>
    <x v="0"/>
    <s v="Travel_Rarely"/>
    <n v="885"/>
    <x v="1"/>
    <n v="16"/>
    <n v="4"/>
    <s v="Life Sciences"/>
    <n v="1042"/>
    <n v="3"/>
    <s v="Female"/>
    <n v="43"/>
    <n v="4"/>
    <n v="1"/>
    <x v="2"/>
    <n v="1"/>
    <s v="Single"/>
    <n v="2743"/>
    <n v="8269"/>
    <n v="1"/>
    <s v="No"/>
    <n v="16"/>
    <n v="3"/>
    <n v="3"/>
    <n v="0"/>
    <n v="18"/>
    <n v="1"/>
    <n v="3"/>
    <n v="17"/>
    <n v="13"/>
    <n v="15"/>
    <n v="14"/>
    <x v="1"/>
    <n v="24687"/>
    <x v="0"/>
    <n v="24687"/>
  </r>
  <r>
    <n v="39"/>
    <x v="1"/>
    <s v="Travel_Frequently"/>
    <n v="945"/>
    <x v="1"/>
    <n v="22"/>
    <n v="3"/>
    <s v="Medical"/>
    <n v="1043"/>
    <n v="4"/>
    <s v="Female"/>
    <n v="82"/>
    <n v="3"/>
    <n v="3"/>
    <x v="3"/>
    <n v="1"/>
    <s v="Single"/>
    <n v="10880"/>
    <n v="5083"/>
    <n v="1"/>
    <s v="Yes"/>
    <n v="13"/>
    <n v="3"/>
    <n v="3"/>
    <n v="0"/>
    <n v="21"/>
    <n v="2"/>
    <n v="3"/>
    <n v="21"/>
    <n v="6"/>
    <n v="2"/>
    <n v="8"/>
    <x v="1"/>
    <n v="97920"/>
    <x v="0"/>
    <n v="0"/>
  </r>
  <r>
    <n v="33"/>
    <x v="1"/>
    <s v="Non-Travel"/>
    <n v="1038"/>
    <x v="0"/>
    <n v="8"/>
    <n v="1"/>
    <s v="Life Sciences"/>
    <n v="1044"/>
    <n v="2"/>
    <s v="Female"/>
    <n v="88"/>
    <n v="2"/>
    <n v="1"/>
    <x v="6"/>
    <n v="4"/>
    <s v="Single"/>
    <n v="2342"/>
    <n v="21437"/>
    <n v="0"/>
    <s v="No"/>
    <n v="19"/>
    <n v="3"/>
    <n v="4"/>
    <n v="0"/>
    <n v="3"/>
    <n v="2"/>
    <n v="2"/>
    <n v="2"/>
    <n v="2"/>
    <n v="2"/>
    <n v="2"/>
    <x v="3"/>
    <n v="21078"/>
    <x v="1"/>
    <n v="0"/>
  </r>
  <r>
    <n v="45"/>
    <x v="1"/>
    <s v="Travel_Rarely"/>
    <n v="1234"/>
    <x v="0"/>
    <n v="11"/>
    <n v="2"/>
    <s v="Life Sciences"/>
    <n v="1045"/>
    <n v="4"/>
    <s v="Female"/>
    <n v="90"/>
    <n v="3"/>
    <n v="4"/>
    <x v="5"/>
    <n v="4"/>
    <s v="Married"/>
    <n v="17650"/>
    <n v="5404"/>
    <n v="3"/>
    <s v="No"/>
    <n v="13"/>
    <n v="3"/>
    <n v="2"/>
    <n v="1"/>
    <n v="26"/>
    <n v="4"/>
    <n v="4"/>
    <n v="9"/>
    <n v="3"/>
    <n v="1"/>
    <n v="1"/>
    <x v="1"/>
    <n v="158850"/>
    <x v="1"/>
    <n v="0"/>
  </r>
  <r>
    <n v="32"/>
    <x v="1"/>
    <s v="Non-Travel"/>
    <n v="1109"/>
    <x v="1"/>
    <n v="29"/>
    <n v="4"/>
    <s v="Medical"/>
    <n v="1046"/>
    <n v="4"/>
    <s v="Female"/>
    <n v="69"/>
    <n v="3"/>
    <n v="1"/>
    <x v="2"/>
    <n v="3"/>
    <s v="Single"/>
    <n v="4025"/>
    <n v="11135"/>
    <n v="9"/>
    <s v="No"/>
    <n v="12"/>
    <n v="3"/>
    <n v="2"/>
    <n v="0"/>
    <n v="10"/>
    <n v="2"/>
    <n v="3"/>
    <n v="8"/>
    <n v="7"/>
    <n v="7"/>
    <n v="7"/>
    <x v="1"/>
    <n v="36225"/>
    <x v="1"/>
    <n v="0"/>
  </r>
  <r>
    <n v="34"/>
    <x v="1"/>
    <s v="Travel_Rarely"/>
    <n v="216"/>
    <x v="0"/>
    <n v="1"/>
    <n v="4"/>
    <s v="Marketing"/>
    <n v="1047"/>
    <n v="2"/>
    <s v="Male"/>
    <n v="75"/>
    <n v="4"/>
    <n v="2"/>
    <x v="0"/>
    <n v="4"/>
    <s v="Divorced"/>
    <n v="9725"/>
    <n v="12278"/>
    <n v="0"/>
    <s v="No"/>
    <n v="11"/>
    <n v="3"/>
    <n v="4"/>
    <n v="1"/>
    <n v="16"/>
    <n v="2"/>
    <n v="2"/>
    <n v="15"/>
    <n v="1"/>
    <n v="0"/>
    <n v="9"/>
    <x v="1"/>
    <n v="87525"/>
    <x v="1"/>
    <n v="0"/>
  </r>
  <r>
    <n v="59"/>
    <x v="1"/>
    <s v="Travel_Rarely"/>
    <n v="1089"/>
    <x v="0"/>
    <n v="1"/>
    <n v="2"/>
    <s v="Technical Degree"/>
    <n v="1048"/>
    <n v="2"/>
    <s v="Male"/>
    <n v="66"/>
    <n v="3"/>
    <n v="3"/>
    <x v="5"/>
    <n v="4"/>
    <s v="Married"/>
    <n v="11904"/>
    <n v="11038"/>
    <n v="3"/>
    <s v="Yes"/>
    <n v="14"/>
    <n v="3"/>
    <n v="3"/>
    <n v="1"/>
    <n v="14"/>
    <n v="1"/>
    <n v="1"/>
    <n v="6"/>
    <n v="4"/>
    <n v="0"/>
    <n v="4"/>
    <x v="0"/>
    <n v="107136"/>
    <x v="0"/>
    <n v="0"/>
  </r>
  <r>
    <n v="45"/>
    <x v="1"/>
    <s v="Travel_Rarely"/>
    <n v="788"/>
    <x v="2"/>
    <n v="24"/>
    <n v="4"/>
    <s v="Medical"/>
    <n v="1049"/>
    <n v="2"/>
    <s v="Male"/>
    <n v="36"/>
    <n v="3"/>
    <n v="1"/>
    <x v="8"/>
    <n v="2"/>
    <s v="Single"/>
    <n v="2177"/>
    <n v="8318"/>
    <n v="1"/>
    <s v="No"/>
    <n v="16"/>
    <n v="3"/>
    <n v="1"/>
    <n v="0"/>
    <n v="6"/>
    <n v="3"/>
    <n v="3"/>
    <n v="6"/>
    <n v="3"/>
    <n v="0"/>
    <n v="4"/>
    <x v="0"/>
    <n v="19593"/>
    <x v="0"/>
    <n v="0"/>
  </r>
  <r>
    <n v="53"/>
    <x v="1"/>
    <s v="Travel_Frequently"/>
    <n v="124"/>
    <x v="0"/>
    <n v="2"/>
    <n v="3"/>
    <s v="Marketing"/>
    <n v="1050"/>
    <n v="3"/>
    <s v="Female"/>
    <n v="38"/>
    <n v="2"/>
    <n v="3"/>
    <x v="0"/>
    <n v="2"/>
    <s v="Married"/>
    <n v="7525"/>
    <n v="23537"/>
    <n v="2"/>
    <s v="No"/>
    <n v="12"/>
    <n v="3"/>
    <n v="1"/>
    <n v="1"/>
    <n v="30"/>
    <n v="2"/>
    <n v="3"/>
    <n v="15"/>
    <n v="7"/>
    <n v="6"/>
    <n v="12"/>
    <x v="1"/>
    <n v="67725"/>
    <x v="0"/>
    <n v="0"/>
  </r>
  <r>
    <n v="36"/>
    <x v="0"/>
    <s v="Travel_Rarely"/>
    <n v="660"/>
    <x v="1"/>
    <n v="15"/>
    <n v="3"/>
    <s v="Other"/>
    <n v="1052"/>
    <n v="1"/>
    <s v="Male"/>
    <n v="81"/>
    <n v="3"/>
    <n v="2"/>
    <x v="2"/>
    <n v="3"/>
    <s v="Divorced"/>
    <n v="4834"/>
    <n v="7858"/>
    <n v="7"/>
    <s v="No"/>
    <n v="14"/>
    <n v="3"/>
    <n v="2"/>
    <n v="1"/>
    <n v="9"/>
    <n v="3"/>
    <n v="2"/>
    <n v="1"/>
    <n v="0"/>
    <n v="0"/>
    <n v="0"/>
    <x v="3"/>
    <n v="43506"/>
    <x v="1"/>
    <n v="43506"/>
  </r>
  <r>
    <n v="26"/>
    <x v="0"/>
    <s v="Travel_Frequently"/>
    <n v="342"/>
    <x v="1"/>
    <n v="2"/>
    <n v="3"/>
    <s v="Life Sciences"/>
    <n v="1053"/>
    <n v="1"/>
    <s v="Male"/>
    <n v="57"/>
    <n v="3"/>
    <n v="1"/>
    <x v="1"/>
    <n v="1"/>
    <s v="Married"/>
    <n v="2042"/>
    <n v="15346"/>
    <n v="6"/>
    <s v="Yes"/>
    <n v="14"/>
    <n v="3"/>
    <n v="2"/>
    <n v="1"/>
    <n v="6"/>
    <n v="2"/>
    <n v="3"/>
    <n v="3"/>
    <n v="2"/>
    <n v="1"/>
    <n v="2"/>
    <x v="3"/>
    <n v="18378"/>
    <x v="2"/>
    <n v="18378"/>
  </r>
  <r>
    <n v="34"/>
    <x v="1"/>
    <s v="Travel_Rarely"/>
    <n v="1333"/>
    <x v="0"/>
    <n v="10"/>
    <n v="4"/>
    <s v="Life Sciences"/>
    <n v="1055"/>
    <n v="3"/>
    <s v="Female"/>
    <n v="87"/>
    <n v="3"/>
    <n v="1"/>
    <x v="6"/>
    <n v="3"/>
    <s v="Married"/>
    <n v="2220"/>
    <n v="18410"/>
    <n v="1"/>
    <s v="Yes"/>
    <n v="19"/>
    <n v="3"/>
    <n v="4"/>
    <n v="1"/>
    <n v="1"/>
    <n v="2"/>
    <n v="3"/>
    <n v="1"/>
    <n v="1"/>
    <n v="0"/>
    <n v="0"/>
    <x v="3"/>
    <n v="19980"/>
    <x v="0"/>
    <n v="0"/>
  </r>
  <r>
    <n v="28"/>
    <x v="1"/>
    <s v="Travel_Rarely"/>
    <n v="1144"/>
    <x v="0"/>
    <n v="10"/>
    <n v="1"/>
    <s v="Medical"/>
    <n v="1056"/>
    <n v="4"/>
    <s v="Male"/>
    <n v="74"/>
    <n v="3"/>
    <n v="1"/>
    <x v="6"/>
    <n v="2"/>
    <s v="Married"/>
    <n v="1052"/>
    <n v="23384"/>
    <n v="1"/>
    <s v="No"/>
    <n v="22"/>
    <n v="4"/>
    <n v="2"/>
    <n v="0"/>
    <n v="1"/>
    <n v="5"/>
    <n v="3"/>
    <n v="1"/>
    <n v="0"/>
    <n v="0"/>
    <n v="0"/>
    <x v="3"/>
    <n v="9468"/>
    <x v="0"/>
    <n v="0"/>
  </r>
  <r>
    <n v="38"/>
    <x v="1"/>
    <s v="Travel_Frequently"/>
    <n v="1186"/>
    <x v="1"/>
    <n v="3"/>
    <n v="4"/>
    <s v="Other"/>
    <n v="1060"/>
    <n v="3"/>
    <s v="Male"/>
    <n v="44"/>
    <n v="3"/>
    <n v="1"/>
    <x v="1"/>
    <n v="3"/>
    <s v="Married"/>
    <n v="2821"/>
    <n v="2997"/>
    <n v="3"/>
    <s v="No"/>
    <n v="16"/>
    <n v="3"/>
    <n v="1"/>
    <n v="1"/>
    <n v="8"/>
    <n v="2"/>
    <n v="3"/>
    <n v="2"/>
    <n v="2"/>
    <n v="2"/>
    <n v="2"/>
    <x v="3"/>
    <n v="25389"/>
    <x v="1"/>
    <n v="0"/>
  </r>
  <r>
    <n v="50"/>
    <x v="1"/>
    <s v="Travel_Rarely"/>
    <n v="1464"/>
    <x v="1"/>
    <n v="2"/>
    <n v="4"/>
    <s v="Medical"/>
    <n v="1061"/>
    <n v="2"/>
    <s v="Male"/>
    <n v="62"/>
    <n v="3"/>
    <n v="5"/>
    <x v="7"/>
    <n v="3"/>
    <s v="Married"/>
    <n v="19237"/>
    <n v="12853"/>
    <n v="2"/>
    <s v="Yes"/>
    <n v="11"/>
    <n v="3"/>
    <n v="4"/>
    <n v="1"/>
    <n v="29"/>
    <n v="2"/>
    <n v="2"/>
    <n v="8"/>
    <n v="1"/>
    <n v="7"/>
    <n v="7"/>
    <x v="1"/>
    <n v="173133"/>
    <x v="0"/>
    <n v="0"/>
  </r>
  <r>
    <n v="37"/>
    <x v="1"/>
    <s v="Travel_Rarely"/>
    <n v="124"/>
    <x v="1"/>
    <n v="3"/>
    <n v="3"/>
    <s v="Other"/>
    <n v="1062"/>
    <n v="4"/>
    <s v="Female"/>
    <n v="35"/>
    <n v="3"/>
    <n v="2"/>
    <x v="4"/>
    <n v="2"/>
    <s v="Single"/>
    <n v="4107"/>
    <n v="13848"/>
    <n v="3"/>
    <s v="No"/>
    <n v="15"/>
    <n v="3"/>
    <n v="1"/>
    <n v="0"/>
    <n v="8"/>
    <n v="3"/>
    <n v="2"/>
    <n v="4"/>
    <n v="3"/>
    <n v="0"/>
    <n v="1"/>
    <x v="0"/>
    <n v="36963"/>
    <x v="0"/>
    <n v="0"/>
  </r>
  <r>
    <n v="40"/>
    <x v="1"/>
    <s v="Travel_Rarely"/>
    <n v="300"/>
    <x v="0"/>
    <n v="26"/>
    <n v="3"/>
    <s v="Marketing"/>
    <n v="1066"/>
    <n v="3"/>
    <s v="Male"/>
    <n v="74"/>
    <n v="3"/>
    <n v="2"/>
    <x v="0"/>
    <n v="1"/>
    <s v="Married"/>
    <n v="8396"/>
    <n v="22217"/>
    <n v="1"/>
    <s v="No"/>
    <n v="14"/>
    <n v="3"/>
    <n v="2"/>
    <n v="1"/>
    <n v="8"/>
    <n v="3"/>
    <n v="2"/>
    <n v="7"/>
    <n v="7"/>
    <n v="7"/>
    <n v="5"/>
    <x v="1"/>
    <n v="75564"/>
    <x v="0"/>
    <n v="0"/>
  </r>
  <r>
    <n v="26"/>
    <x v="1"/>
    <s v="Travel_Frequently"/>
    <n v="921"/>
    <x v="1"/>
    <n v="1"/>
    <n v="1"/>
    <s v="Medical"/>
    <n v="1068"/>
    <n v="1"/>
    <s v="Female"/>
    <n v="66"/>
    <n v="2"/>
    <n v="1"/>
    <x v="1"/>
    <n v="3"/>
    <s v="Divorced"/>
    <n v="2007"/>
    <n v="25265"/>
    <n v="1"/>
    <s v="No"/>
    <n v="13"/>
    <n v="3"/>
    <n v="3"/>
    <n v="2"/>
    <n v="5"/>
    <n v="5"/>
    <n v="3"/>
    <n v="5"/>
    <n v="3"/>
    <n v="1"/>
    <n v="3"/>
    <x v="0"/>
    <n v="18063"/>
    <x v="1"/>
    <n v="0"/>
  </r>
  <r>
    <n v="46"/>
    <x v="1"/>
    <s v="Travel_Rarely"/>
    <n v="430"/>
    <x v="1"/>
    <n v="1"/>
    <n v="4"/>
    <s v="Medical"/>
    <n v="1069"/>
    <n v="4"/>
    <s v="Male"/>
    <n v="40"/>
    <n v="3"/>
    <n v="5"/>
    <x v="7"/>
    <n v="4"/>
    <s v="Divorced"/>
    <n v="19627"/>
    <n v="21445"/>
    <n v="9"/>
    <s v="No"/>
    <n v="17"/>
    <n v="3"/>
    <n v="4"/>
    <n v="2"/>
    <n v="23"/>
    <n v="0"/>
    <n v="3"/>
    <n v="2"/>
    <n v="2"/>
    <n v="2"/>
    <n v="2"/>
    <x v="3"/>
    <n v="176643"/>
    <x v="1"/>
    <n v="0"/>
  </r>
  <r>
    <n v="54"/>
    <x v="1"/>
    <s v="Travel_Rarely"/>
    <n v="1082"/>
    <x v="0"/>
    <n v="2"/>
    <n v="4"/>
    <s v="Life Sciences"/>
    <n v="1070"/>
    <n v="3"/>
    <s v="Female"/>
    <n v="41"/>
    <n v="2"/>
    <n v="3"/>
    <x v="0"/>
    <n v="3"/>
    <s v="Married"/>
    <n v="10686"/>
    <n v="8392"/>
    <n v="6"/>
    <s v="No"/>
    <n v="11"/>
    <n v="3"/>
    <n v="2"/>
    <n v="1"/>
    <n v="13"/>
    <n v="4"/>
    <n v="3"/>
    <n v="9"/>
    <n v="4"/>
    <n v="7"/>
    <n v="0"/>
    <x v="1"/>
    <n v="96174"/>
    <x v="1"/>
    <n v="0"/>
  </r>
  <r>
    <n v="56"/>
    <x v="1"/>
    <s v="Travel_Frequently"/>
    <n v="1240"/>
    <x v="1"/>
    <n v="9"/>
    <n v="3"/>
    <s v="Medical"/>
    <n v="1071"/>
    <n v="1"/>
    <s v="Female"/>
    <n v="63"/>
    <n v="3"/>
    <n v="1"/>
    <x v="1"/>
    <n v="3"/>
    <s v="Married"/>
    <n v="2942"/>
    <n v="12154"/>
    <n v="2"/>
    <s v="No"/>
    <n v="19"/>
    <n v="3"/>
    <n v="2"/>
    <n v="1"/>
    <n v="18"/>
    <n v="4"/>
    <n v="3"/>
    <n v="5"/>
    <n v="4"/>
    <n v="0"/>
    <n v="3"/>
    <x v="0"/>
    <n v="26478"/>
    <x v="1"/>
    <n v="0"/>
  </r>
  <r>
    <n v="36"/>
    <x v="1"/>
    <s v="Travel_Rarely"/>
    <n v="796"/>
    <x v="1"/>
    <n v="12"/>
    <n v="5"/>
    <s v="Medical"/>
    <n v="1073"/>
    <n v="4"/>
    <s v="Female"/>
    <n v="51"/>
    <n v="2"/>
    <n v="3"/>
    <x v="3"/>
    <n v="4"/>
    <s v="Single"/>
    <n v="8858"/>
    <n v="15669"/>
    <n v="0"/>
    <s v="No"/>
    <n v="11"/>
    <n v="3"/>
    <n v="2"/>
    <n v="0"/>
    <n v="15"/>
    <n v="2"/>
    <n v="2"/>
    <n v="14"/>
    <n v="8"/>
    <n v="7"/>
    <n v="8"/>
    <x v="1"/>
    <n v="79722"/>
    <x v="1"/>
    <n v="0"/>
  </r>
  <r>
    <n v="55"/>
    <x v="1"/>
    <s v="Non-Travel"/>
    <n v="444"/>
    <x v="1"/>
    <n v="2"/>
    <n v="1"/>
    <s v="Medical"/>
    <n v="1074"/>
    <n v="3"/>
    <s v="Male"/>
    <n v="40"/>
    <n v="2"/>
    <n v="4"/>
    <x v="5"/>
    <n v="1"/>
    <s v="Single"/>
    <n v="16756"/>
    <n v="17323"/>
    <n v="7"/>
    <s v="No"/>
    <n v="15"/>
    <n v="3"/>
    <n v="2"/>
    <n v="0"/>
    <n v="31"/>
    <n v="3"/>
    <n v="4"/>
    <n v="9"/>
    <n v="7"/>
    <n v="6"/>
    <n v="2"/>
    <x v="1"/>
    <n v="150804"/>
    <x v="0"/>
    <n v="0"/>
  </r>
  <r>
    <n v="43"/>
    <x v="1"/>
    <s v="Travel_Rarely"/>
    <n v="415"/>
    <x v="0"/>
    <n v="25"/>
    <n v="3"/>
    <s v="Medical"/>
    <n v="1076"/>
    <n v="3"/>
    <s v="Male"/>
    <n v="79"/>
    <n v="2"/>
    <n v="3"/>
    <x v="0"/>
    <n v="4"/>
    <s v="Divorced"/>
    <n v="10798"/>
    <n v="5268"/>
    <n v="5"/>
    <s v="No"/>
    <n v="13"/>
    <n v="3"/>
    <n v="3"/>
    <n v="1"/>
    <n v="18"/>
    <n v="5"/>
    <n v="3"/>
    <n v="1"/>
    <n v="0"/>
    <n v="0"/>
    <n v="0"/>
    <x v="3"/>
    <n v="97182"/>
    <x v="1"/>
    <n v="0"/>
  </r>
  <r>
    <n v="20"/>
    <x v="0"/>
    <s v="Travel_Frequently"/>
    <n v="769"/>
    <x v="0"/>
    <n v="9"/>
    <n v="3"/>
    <s v="Marketing"/>
    <n v="1077"/>
    <n v="4"/>
    <s v="Female"/>
    <n v="54"/>
    <n v="3"/>
    <n v="1"/>
    <x v="6"/>
    <n v="4"/>
    <s v="Single"/>
    <n v="2323"/>
    <n v="17205"/>
    <n v="1"/>
    <s v="Yes"/>
    <n v="14"/>
    <n v="3"/>
    <n v="2"/>
    <n v="0"/>
    <n v="2"/>
    <n v="3"/>
    <n v="3"/>
    <n v="2"/>
    <n v="2"/>
    <n v="0"/>
    <n v="2"/>
    <x v="3"/>
    <n v="20907"/>
    <x v="0"/>
    <n v="20907"/>
  </r>
  <r>
    <n v="21"/>
    <x v="0"/>
    <s v="Travel_Rarely"/>
    <n v="1334"/>
    <x v="1"/>
    <n v="10"/>
    <n v="3"/>
    <s v="Life Sciences"/>
    <n v="1079"/>
    <n v="3"/>
    <s v="Female"/>
    <n v="36"/>
    <n v="2"/>
    <n v="1"/>
    <x v="2"/>
    <n v="1"/>
    <s v="Single"/>
    <n v="1416"/>
    <n v="17258"/>
    <n v="1"/>
    <s v="No"/>
    <n v="13"/>
    <n v="3"/>
    <n v="1"/>
    <n v="0"/>
    <n v="1"/>
    <n v="6"/>
    <n v="2"/>
    <n v="1"/>
    <n v="0"/>
    <n v="1"/>
    <n v="0"/>
    <x v="3"/>
    <n v="12744"/>
    <x v="0"/>
    <n v="12744"/>
  </r>
  <r>
    <n v="46"/>
    <x v="1"/>
    <s v="Travel_Rarely"/>
    <n v="1003"/>
    <x v="1"/>
    <n v="8"/>
    <n v="4"/>
    <s v="Life Sciences"/>
    <n v="1080"/>
    <n v="4"/>
    <s v="Female"/>
    <n v="74"/>
    <n v="2"/>
    <n v="2"/>
    <x v="1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  <x v="1"/>
    <n v="41535"/>
    <x v="0"/>
    <n v="0"/>
  </r>
  <r>
    <n v="51"/>
    <x v="0"/>
    <s v="Travel_Rarely"/>
    <n v="1323"/>
    <x v="1"/>
    <n v="4"/>
    <n v="4"/>
    <s v="Life Sciences"/>
    <n v="1081"/>
    <n v="1"/>
    <s v="Male"/>
    <n v="34"/>
    <n v="3"/>
    <n v="1"/>
    <x v="1"/>
    <n v="3"/>
    <s v="Married"/>
    <n v="2461"/>
    <n v="10332"/>
    <n v="9"/>
    <s v="Yes"/>
    <n v="12"/>
    <n v="3"/>
    <n v="3"/>
    <n v="3"/>
    <n v="18"/>
    <n v="2"/>
    <n v="4"/>
    <n v="10"/>
    <n v="0"/>
    <n v="2"/>
    <n v="7"/>
    <x v="1"/>
    <n v="22149"/>
    <x v="0"/>
    <n v="22149"/>
  </r>
  <r>
    <n v="28"/>
    <x v="0"/>
    <s v="Non-Travel"/>
    <n v="1366"/>
    <x v="1"/>
    <n v="24"/>
    <n v="2"/>
    <s v="Technical Degree"/>
    <n v="1082"/>
    <n v="2"/>
    <s v="Male"/>
    <n v="72"/>
    <n v="2"/>
    <n v="3"/>
    <x v="4"/>
    <n v="1"/>
    <s v="Single"/>
    <n v="8722"/>
    <n v="12355"/>
    <n v="1"/>
    <s v="No"/>
    <n v="12"/>
    <n v="3"/>
    <n v="1"/>
    <n v="0"/>
    <n v="10"/>
    <n v="2"/>
    <n v="2"/>
    <n v="10"/>
    <n v="7"/>
    <n v="1"/>
    <n v="9"/>
    <x v="1"/>
    <n v="78498"/>
    <x v="0"/>
    <n v="78498"/>
  </r>
  <r>
    <n v="26"/>
    <x v="1"/>
    <s v="Travel_Rarely"/>
    <n v="192"/>
    <x v="1"/>
    <n v="1"/>
    <n v="2"/>
    <s v="Medical"/>
    <n v="1083"/>
    <n v="1"/>
    <s v="Male"/>
    <n v="59"/>
    <n v="2"/>
    <n v="1"/>
    <x v="2"/>
    <n v="1"/>
    <s v="Married"/>
    <n v="3955"/>
    <n v="11141"/>
    <n v="1"/>
    <s v="No"/>
    <n v="16"/>
    <n v="3"/>
    <n v="1"/>
    <n v="2"/>
    <n v="6"/>
    <n v="2"/>
    <n v="3"/>
    <n v="5"/>
    <n v="3"/>
    <n v="1"/>
    <n v="3"/>
    <x v="0"/>
    <n v="35595"/>
    <x v="0"/>
    <n v="0"/>
  </r>
  <r>
    <n v="30"/>
    <x v="1"/>
    <s v="Travel_Rarely"/>
    <n v="1176"/>
    <x v="1"/>
    <n v="20"/>
    <n v="3"/>
    <s v="Other"/>
    <n v="1084"/>
    <n v="3"/>
    <s v="Male"/>
    <n v="85"/>
    <n v="3"/>
    <n v="2"/>
    <x v="3"/>
    <n v="1"/>
    <s v="Married"/>
    <n v="9957"/>
    <n v="9096"/>
    <n v="0"/>
    <s v="No"/>
    <n v="15"/>
    <n v="3"/>
    <n v="3"/>
    <n v="1"/>
    <n v="7"/>
    <n v="1"/>
    <n v="2"/>
    <n v="6"/>
    <n v="2"/>
    <n v="0"/>
    <n v="2"/>
    <x v="0"/>
    <n v="89613"/>
    <x v="0"/>
    <n v="0"/>
  </r>
  <r>
    <n v="41"/>
    <x v="1"/>
    <s v="Travel_Rarely"/>
    <n v="509"/>
    <x v="1"/>
    <n v="7"/>
    <n v="2"/>
    <s v="Technical Degree"/>
    <n v="1085"/>
    <n v="2"/>
    <s v="Female"/>
    <n v="43"/>
    <n v="4"/>
    <n v="1"/>
    <x v="1"/>
    <n v="3"/>
    <s v="Married"/>
    <n v="3376"/>
    <n v="18863"/>
    <n v="1"/>
    <s v="No"/>
    <n v="13"/>
    <n v="3"/>
    <n v="3"/>
    <n v="0"/>
    <n v="10"/>
    <n v="3"/>
    <n v="3"/>
    <n v="10"/>
    <n v="6"/>
    <n v="0"/>
    <n v="8"/>
    <x v="1"/>
    <n v="30384"/>
    <x v="1"/>
    <n v="0"/>
  </r>
  <r>
    <n v="38"/>
    <x v="1"/>
    <s v="Travel_Rarely"/>
    <n v="330"/>
    <x v="1"/>
    <n v="17"/>
    <n v="1"/>
    <s v="Life Sciences"/>
    <n v="1088"/>
    <n v="3"/>
    <s v="Female"/>
    <n v="65"/>
    <n v="2"/>
    <n v="3"/>
    <x v="4"/>
    <n v="3"/>
    <s v="Married"/>
    <n v="8823"/>
    <n v="24608"/>
    <n v="0"/>
    <s v="No"/>
    <n v="18"/>
    <n v="3"/>
    <n v="1"/>
    <n v="1"/>
    <n v="20"/>
    <n v="4"/>
    <n v="2"/>
    <n v="19"/>
    <n v="9"/>
    <n v="1"/>
    <n v="9"/>
    <x v="1"/>
    <n v="79407"/>
    <x v="1"/>
    <n v="0"/>
  </r>
  <r>
    <n v="40"/>
    <x v="1"/>
    <s v="Travel_Rarely"/>
    <n v="1492"/>
    <x v="1"/>
    <n v="20"/>
    <n v="4"/>
    <s v="Technical Degree"/>
    <n v="1092"/>
    <n v="1"/>
    <s v="Male"/>
    <n v="61"/>
    <n v="3"/>
    <n v="3"/>
    <x v="4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  <x v="1"/>
    <n v="92898"/>
    <x v="1"/>
    <n v="0"/>
  </r>
  <r>
    <n v="27"/>
    <x v="1"/>
    <s v="Non-Travel"/>
    <n v="1277"/>
    <x v="1"/>
    <n v="8"/>
    <n v="5"/>
    <s v="Life Sciences"/>
    <n v="1094"/>
    <n v="1"/>
    <s v="Male"/>
    <n v="87"/>
    <n v="1"/>
    <n v="1"/>
    <x v="2"/>
    <n v="3"/>
    <s v="Married"/>
    <n v="4621"/>
    <n v="5869"/>
    <n v="1"/>
    <s v="No"/>
    <n v="19"/>
    <n v="3"/>
    <n v="4"/>
    <n v="3"/>
    <n v="3"/>
    <n v="4"/>
    <n v="3"/>
    <n v="3"/>
    <n v="2"/>
    <n v="1"/>
    <n v="2"/>
    <x v="3"/>
    <n v="41589"/>
    <x v="1"/>
    <n v="0"/>
  </r>
  <r>
    <n v="55"/>
    <x v="1"/>
    <s v="Travel_Frequently"/>
    <n v="1091"/>
    <x v="1"/>
    <n v="2"/>
    <n v="1"/>
    <s v="Life Sciences"/>
    <n v="1096"/>
    <n v="4"/>
    <s v="Male"/>
    <n v="65"/>
    <n v="3"/>
    <n v="3"/>
    <x v="3"/>
    <n v="2"/>
    <s v="Married"/>
    <n v="10976"/>
    <n v="15813"/>
    <n v="3"/>
    <s v="No"/>
    <n v="18"/>
    <n v="3"/>
    <n v="2"/>
    <n v="1"/>
    <n v="23"/>
    <n v="4"/>
    <n v="3"/>
    <n v="3"/>
    <n v="2"/>
    <n v="1"/>
    <n v="2"/>
    <x v="3"/>
    <n v="98784"/>
    <x v="0"/>
    <n v="0"/>
  </r>
  <r>
    <n v="28"/>
    <x v="1"/>
    <s v="Travel_Rarely"/>
    <n v="857"/>
    <x v="1"/>
    <n v="10"/>
    <n v="3"/>
    <s v="Other"/>
    <n v="1097"/>
    <n v="3"/>
    <s v="Female"/>
    <n v="59"/>
    <n v="3"/>
    <n v="2"/>
    <x v="1"/>
    <n v="3"/>
    <s v="Single"/>
    <n v="3660"/>
    <n v="7909"/>
    <n v="3"/>
    <s v="No"/>
    <n v="13"/>
    <n v="3"/>
    <n v="4"/>
    <n v="0"/>
    <n v="10"/>
    <n v="4"/>
    <n v="4"/>
    <n v="8"/>
    <n v="7"/>
    <n v="1"/>
    <n v="7"/>
    <x v="1"/>
    <n v="32940"/>
    <x v="1"/>
    <n v="0"/>
  </r>
  <r>
    <n v="44"/>
    <x v="0"/>
    <s v="Travel_Rarely"/>
    <n v="1376"/>
    <x v="2"/>
    <n v="1"/>
    <n v="2"/>
    <s v="Medical"/>
    <n v="1098"/>
    <n v="2"/>
    <s v="Male"/>
    <n v="91"/>
    <n v="2"/>
    <n v="3"/>
    <x v="8"/>
    <n v="1"/>
    <s v="Married"/>
    <n v="10482"/>
    <n v="2326"/>
    <n v="9"/>
    <s v="No"/>
    <n v="14"/>
    <n v="3"/>
    <n v="4"/>
    <n v="1"/>
    <n v="24"/>
    <n v="1"/>
    <n v="3"/>
    <n v="20"/>
    <n v="6"/>
    <n v="3"/>
    <n v="6"/>
    <x v="1"/>
    <n v="94338"/>
    <x v="0"/>
    <n v="94338"/>
  </r>
  <r>
    <n v="33"/>
    <x v="1"/>
    <s v="Travel_Rarely"/>
    <n v="654"/>
    <x v="1"/>
    <n v="5"/>
    <n v="3"/>
    <s v="Life Sciences"/>
    <n v="1099"/>
    <n v="4"/>
    <s v="Male"/>
    <n v="34"/>
    <n v="2"/>
    <n v="3"/>
    <x v="4"/>
    <n v="4"/>
    <s v="Divorced"/>
    <n v="7119"/>
    <n v="21214"/>
    <n v="4"/>
    <s v="No"/>
    <n v="15"/>
    <n v="3"/>
    <n v="3"/>
    <n v="1"/>
    <n v="9"/>
    <n v="2"/>
    <n v="3"/>
    <n v="3"/>
    <n v="2"/>
    <n v="1"/>
    <n v="2"/>
    <x v="3"/>
    <n v="64071"/>
    <x v="1"/>
    <n v="0"/>
  </r>
  <r>
    <n v="35"/>
    <x v="0"/>
    <s v="Travel_Rarely"/>
    <n v="1204"/>
    <x v="0"/>
    <n v="4"/>
    <n v="3"/>
    <s v="Technical Degree"/>
    <n v="1100"/>
    <n v="4"/>
    <s v="Male"/>
    <n v="86"/>
    <n v="3"/>
    <n v="3"/>
    <x v="0"/>
    <n v="1"/>
    <s v="Single"/>
    <n v="9582"/>
    <n v="10333"/>
    <n v="0"/>
    <s v="Yes"/>
    <n v="22"/>
    <n v="4"/>
    <n v="1"/>
    <n v="0"/>
    <n v="9"/>
    <n v="2"/>
    <n v="3"/>
    <n v="8"/>
    <n v="7"/>
    <n v="4"/>
    <n v="7"/>
    <x v="1"/>
    <n v="86238"/>
    <x v="0"/>
    <n v="86238"/>
  </r>
  <r>
    <n v="33"/>
    <x v="0"/>
    <s v="Travel_Frequently"/>
    <n v="827"/>
    <x v="1"/>
    <n v="29"/>
    <n v="4"/>
    <s v="Medical"/>
    <n v="1101"/>
    <n v="1"/>
    <s v="Female"/>
    <n v="54"/>
    <n v="2"/>
    <n v="2"/>
    <x v="1"/>
    <n v="3"/>
    <s v="Single"/>
    <n v="4508"/>
    <n v="3129"/>
    <n v="1"/>
    <s v="No"/>
    <n v="22"/>
    <n v="4"/>
    <n v="2"/>
    <n v="0"/>
    <n v="14"/>
    <n v="4"/>
    <n v="3"/>
    <n v="13"/>
    <n v="7"/>
    <n v="3"/>
    <n v="8"/>
    <x v="1"/>
    <n v="40572"/>
    <x v="1"/>
    <n v="40572"/>
  </r>
  <r>
    <n v="28"/>
    <x v="1"/>
    <s v="Travel_Rarely"/>
    <n v="895"/>
    <x v="1"/>
    <n v="15"/>
    <n v="2"/>
    <s v="Life Sciences"/>
    <n v="1102"/>
    <n v="1"/>
    <s v="Male"/>
    <n v="50"/>
    <n v="3"/>
    <n v="1"/>
    <x v="2"/>
    <n v="3"/>
    <s v="Divorced"/>
    <n v="2207"/>
    <n v="22482"/>
    <n v="1"/>
    <s v="No"/>
    <n v="16"/>
    <n v="3"/>
    <n v="4"/>
    <n v="1"/>
    <n v="4"/>
    <n v="5"/>
    <n v="2"/>
    <n v="4"/>
    <n v="2"/>
    <n v="2"/>
    <n v="2"/>
    <x v="0"/>
    <n v="19863"/>
    <x v="1"/>
    <n v="0"/>
  </r>
  <r>
    <n v="34"/>
    <x v="1"/>
    <s v="Travel_Frequently"/>
    <n v="618"/>
    <x v="1"/>
    <n v="3"/>
    <n v="1"/>
    <s v="Life Sciences"/>
    <n v="1103"/>
    <n v="1"/>
    <s v="Male"/>
    <n v="45"/>
    <n v="3"/>
    <n v="2"/>
    <x v="4"/>
    <n v="4"/>
    <s v="Single"/>
    <n v="7756"/>
    <n v="22266"/>
    <n v="0"/>
    <s v="No"/>
    <n v="17"/>
    <n v="3"/>
    <n v="3"/>
    <n v="0"/>
    <n v="7"/>
    <n v="1"/>
    <n v="2"/>
    <n v="6"/>
    <n v="2"/>
    <n v="0"/>
    <n v="4"/>
    <x v="0"/>
    <n v="69804"/>
    <x v="1"/>
    <n v="0"/>
  </r>
  <r>
    <n v="37"/>
    <x v="1"/>
    <s v="Travel_Rarely"/>
    <n v="309"/>
    <x v="0"/>
    <n v="10"/>
    <n v="4"/>
    <s v="Life Sciences"/>
    <n v="1105"/>
    <n v="4"/>
    <s v="Female"/>
    <n v="88"/>
    <n v="2"/>
    <n v="2"/>
    <x v="0"/>
    <n v="4"/>
    <s v="Divorced"/>
    <n v="6694"/>
    <n v="24223"/>
    <n v="2"/>
    <s v="Yes"/>
    <n v="14"/>
    <n v="3"/>
    <n v="3"/>
    <n v="3"/>
    <n v="8"/>
    <n v="5"/>
    <n v="3"/>
    <n v="1"/>
    <n v="0"/>
    <n v="0"/>
    <n v="0"/>
    <x v="3"/>
    <n v="60246"/>
    <x v="0"/>
    <n v="0"/>
  </r>
  <r>
    <n v="25"/>
    <x v="0"/>
    <s v="Travel_Rarely"/>
    <n v="1219"/>
    <x v="1"/>
    <n v="4"/>
    <n v="1"/>
    <s v="Technical Degree"/>
    <n v="1106"/>
    <n v="4"/>
    <s v="Male"/>
    <n v="32"/>
    <n v="3"/>
    <n v="1"/>
    <x v="2"/>
    <n v="4"/>
    <s v="Married"/>
    <n v="3691"/>
    <n v="4605"/>
    <n v="1"/>
    <s v="Yes"/>
    <n v="15"/>
    <n v="3"/>
    <n v="2"/>
    <n v="1"/>
    <n v="7"/>
    <n v="3"/>
    <n v="4"/>
    <n v="7"/>
    <n v="7"/>
    <n v="5"/>
    <n v="6"/>
    <x v="1"/>
    <n v="33219"/>
    <x v="0"/>
    <n v="33219"/>
  </r>
  <r>
    <n v="26"/>
    <x v="0"/>
    <s v="Travel_Rarely"/>
    <n v="1330"/>
    <x v="1"/>
    <n v="21"/>
    <n v="3"/>
    <s v="Medical"/>
    <n v="1107"/>
    <n v="1"/>
    <s v="Male"/>
    <n v="37"/>
    <n v="3"/>
    <n v="1"/>
    <x v="2"/>
    <n v="3"/>
    <s v="Divorced"/>
    <n v="2377"/>
    <n v="19373"/>
    <n v="1"/>
    <s v="No"/>
    <n v="20"/>
    <n v="4"/>
    <n v="3"/>
    <n v="1"/>
    <n v="1"/>
    <n v="0"/>
    <n v="2"/>
    <n v="1"/>
    <n v="1"/>
    <n v="0"/>
    <n v="0"/>
    <x v="3"/>
    <n v="21393"/>
    <x v="1"/>
    <n v="21393"/>
  </r>
  <r>
    <n v="33"/>
    <x v="0"/>
    <s v="Travel_Rarely"/>
    <n v="1017"/>
    <x v="1"/>
    <n v="25"/>
    <n v="3"/>
    <s v="Medical"/>
    <n v="1108"/>
    <n v="1"/>
    <s v="Male"/>
    <n v="55"/>
    <n v="2"/>
    <n v="1"/>
    <x v="1"/>
    <n v="2"/>
    <s v="Single"/>
    <n v="2313"/>
    <n v="2993"/>
    <n v="4"/>
    <s v="Yes"/>
    <n v="20"/>
    <n v="4"/>
    <n v="2"/>
    <n v="0"/>
    <n v="5"/>
    <n v="0"/>
    <n v="3"/>
    <n v="2"/>
    <n v="2"/>
    <n v="2"/>
    <n v="2"/>
    <x v="3"/>
    <n v="20817"/>
    <x v="2"/>
    <n v="20817"/>
  </r>
  <r>
    <n v="42"/>
    <x v="1"/>
    <s v="Travel_Rarely"/>
    <n v="469"/>
    <x v="1"/>
    <n v="2"/>
    <n v="2"/>
    <s v="Medical"/>
    <n v="1109"/>
    <n v="4"/>
    <s v="Male"/>
    <n v="35"/>
    <n v="3"/>
    <n v="4"/>
    <x v="5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  <x v="1"/>
    <n v="158985"/>
    <x v="0"/>
    <n v="0"/>
  </r>
  <r>
    <n v="28"/>
    <x v="0"/>
    <s v="Travel_Frequently"/>
    <n v="1009"/>
    <x v="1"/>
    <n v="1"/>
    <n v="3"/>
    <s v="Medical"/>
    <n v="1111"/>
    <n v="1"/>
    <s v="Male"/>
    <n v="45"/>
    <n v="2"/>
    <n v="1"/>
    <x v="2"/>
    <n v="2"/>
    <s v="Divorced"/>
    <n v="2596"/>
    <n v="7160"/>
    <n v="1"/>
    <s v="No"/>
    <n v="15"/>
    <n v="3"/>
    <n v="1"/>
    <n v="2"/>
    <n v="1"/>
    <n v="2"/>
    <n v="3"/>
    <n v="1"/>
    <n v="0"/>
    <n v="0"/>
    <n v="0"/>
    <x v="3"/>
    <n v="23364"/>
    <x v="0"/>
    <n v="23364"/>
  </r>
  <r>
    <n v="50"/>
    <x v="0"/>
    <s v="Travel_Frequently"/>
    <n v="959"/>
    <x v="0"/>
    <n v="1"/>
    <n v="4"/>
    <s v="Other"/>
    <n v="1113"/>
    <n v="4"/>
    <s v="Male"/>
    <n v="81"/>
    <n v="3"/>
    <n v="2"/>
    <x v="0"/>
    <n v="3"/>
    <s v="Single"/>
    <n v="4728"/>
    <n v="17251"/>
    <n v="3"/>
    <s v="Yes"/>
    <n v="14"/>
    <n v="3"/>
    <n v="4"/>
    <n v="0"/>
    <n v="5"/>
    <n v="4"/>
    <n v="3"/>
    <n v="0"/>
    <n v="0"/>
    <n v="0"/>
    <n v="0"/>
    <x v="2"/>
    <n v="42552"/>
    <x v="0"/>
    <n v="42552"/>
  </r>
  <r>
    <n v="33"/>
    <x v="1"/>
    <s v="Travel_Frequently"/>
    <n v="970"/>
    <x v="0"/>
    <n v="7"/>
    <n v="3"/>
    <s v="Life Sciences"/>
    <n v="1114"/>
    <n v="4"/>
    <s v="Female"/>
    <n v="30"/>
    <n v="3"/>
    <n v="2"/>
    <x v="0"/>
    <n v="2"/>
    <s v="Married"/>
    <n v="4302"/>
    <n v="13401"/>
    <n v="0"/>
    <s v="No"/>
    <n v="17"/>
    <n v="3"/>
    <n v="3"/>
    <n v="1"/>
    <n v="4"/>
    <n v="3"/>
    <n v="3"/>
    <n v="3"/>
    <n v="2"/>
    <n v="0"/>
    <n v="2"/>
    <x v="3"/>
    <n v="38718"/>
    <x v="0"/>
    <n v="0"/>
  </r>
  <r>
    <n v="34"/>
    <x v="1"/>
    <s v="Non-Travel"/>
    <n v="697"/>
    <x v="1"/>
    <n v="3"/>
    <n v="4"/>
    <s v="Life Sciences"/>
    <n v="1115"/>
    <n v="3"/>
    <s v="Male"/>
    <n v="40"/>
    <n v="2"/>
    <n v="1"/>
    <x v="1"/>
    <n v="4"/>
    <s v="Married"/>
    <n v="2979"/>
    <n v="22478"/>
    <n v="3"/>
    <s v="No"/>
    <n v="17"/>
    <n v="3"/>
    <n v="4"/>
    <n v="3"/>
    <n v="6"/>
    <n v="2"/>
    <n v="3"/>
    <n v="0"/>
    <n v="0"/>
    <n v="0"/>
    <n v="0"/>
    <x v="2"/>
    <n v="26811"/>
    <x v="1"/>
    <n v="0"/>
  </r>
  <r>
    <n v="48"/>
    <x v="1"/>
    <s v="Non-Travel"/>
    <n v="1262"/>
    <x v="1"/>
    <n v="1"/>
    <n v="4"/>
    <s v="Medical"/>
    <n v="1116"/>
    <n v="1"/>
    <s v="Male"/>
    <n v="35"/>
    <n v="4"/>
    <n v="4"/>
    <x v="5"/>
    <n v="4"/>
    <s v="Single"/>
    <n v="16885"/>
    <n v="16154"/>
    <n v="2"/>
    <s v="No"/>
    <n v="22"/>
    <n v="4"/>
    <n v="3"/>
    <n v="0"/>
    <n v="27"/>
    <n v="3"/>
    <n v="2"/>
    <n v="5"/>
    <n v="4"/>
    <n v="2"/>
    <n v="1"/>
    <x v="0"/>
    <n v="151965"/>
    <x v="1"/>
    <n v="0"/>
  </r>
  <r>
    <n v="45"/>
    <x v="1"/>
    <s v="Non-Travel"/>
    <n v="1050"/>
    <x v="0"/>
    <n v="9"/>
    <n v="4"/>
    <s v="Life Sciences"/>
    <n v="1117"/>
    <n v="2"/>
    <s v="Female"/>
    <n v="65"/>
    <n v="2"/>
    <n v="2"/>
    <x v="0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  <x v="1"/>
    <n v="50337"/>
    <x v="1"/>
    <n v="0"/>
  </r>
  <r>
    <n v="52"/>
    <x v="1"/>
    <s v="Travel_Rarely"/>
    <n v="994"/>
    <x v="1"/>
    <n v="7"/>
    <n v="4"/>
    <s v="Life Sciences"/>
    <n v="1118"/>
    <n v="2"/>
    <s v="Male"/>
    <n v="87"/>
    <n v="3"/>
    <n v="3"/>
    <x v="4"/>
    <n v="2"/>
    <s v="Single"/>
    <n v="10445"/>
    <n v="15322"/>
    <n v="7"/>
    <s v="No"/>
    <n v="19"/>
    <n v="3"/>
    <n v="4"/>
    <n v="0"/>
    <n v="18"/>
    <n v="4"/>
    <n v="3"/>
    <n v="8"/>
    <n v="6"/>
    <n v="4"/>
    <n v="0"/>
    <x v="1"/>
    <n v="94005"/>
    <x v="0"/>
    <n v="0"/>
  </r>
  <r>
    <n v="38"/>
    <x v="1"/>
    <s v="Travel_Rarely"/>
    <n v="770"/>
    <x v="0"/>
    <n v="10"/>
    <n v="4"/>
    <s v="Marketing"/>
    <n v="1119"/>
    <n v="3"/>
    <s v="Male"/>
    <n v="73"/>
    <n v="2"/>
    <n v="3"/>
    <x v="0"/>
    <n v="3"/>
    <s v="Divorced"/>
    <n v="8740"/>
    <n v="5569"/>
    <n v="0"/>
    <s v="Yes"/>
    <n v="14"/>
    <n v="3"/>
    <n v="2"/>
    <n v="2"/>
    <n v="9"/>
    <n v="2"/>
    <n v="3"/>
    <n v="8"/>
    <n v="7"/>
    <n v="2"/>
    <n v="7"/>
    <x v="1"/>
    <n v="78660"/>
    <x v="0"/>
    <n v="0"/>
  </r>
  <r>
    <n v="29"/>
    <x v="1"/>
    <s v="Travel_Rarely"/>
    <n v="1107"/>
    <x v="1"/>
    <n v="28"/>
    <n v="4"/>
    <s v="Life Sciences"/>
    <n v="1120"/>
    <n v="3"/>
    <s v="Female"/>
    <n v="93"/>
    <n v="3"/>
    <n v="1"/>
    <x v="1"/>
    <n v="4"/>
    <s v="Divorced"/>
    <n v="2514"/>
    <n v="26968"/>
    <n v="4"/>
    <s v="No"/>
    <n v="22"/>
    <n v="4"/>
    <n v="1"/>
    <n v="1"/>
    <n v="11"/>
    <n v="1"/>
    <n v="3"/>
    <n v="7"/>
    <n v="5"/>
    <n v="1"/>
    <n v="7"/>
    <x v="1"/>
    <n v="22626"/>
    <x v="1"/>
    <n v="0"/>
  </r>
  <r>
    <n v="28"/>
    <x v="1"/>
    <s v="Travel_Rarely"/>
    <n v="950"/>
    <x v="1"/>
    <n v="3"/>
    <n v="3"/>
    <s v="Medical"/>
    <n v="1121"/>
    <n v="4"/>
    <s v="Female"/>
    <n v="93"/>
    <n v="3"/>
    <n v="3"/>
    <x v="3"/>
    <n v="2"/>
    <s v="Divorced"/>
    <n v="7655"/>
    <n v="8039"/>
    <n v="0"/>
    <s v="No"/>
    <n v="17"/>
    <n v="3"/>
    <n v="2"/>
    <n v="3"/>
    <n v="10"/>
    <n v="3"/>
    <n v="2"/>
    <n v="9"/>
    <n v="7"/>
    <n v="1"/>
    <n v="7"/>
    <x v="1"/>
    <n v="68895"/>
    <x v="0"/>
    <n v="0"/>
  </r>
  <r>
    <n v="46"/>
    <x v="1"/>
    <s v="Travel_Rarely"/>
    <n v="406"/>
    <x v="0"/>
    <n v="3"/>
    <n v="1"/>
    <s v="Marketing"/>
    <n v="1124"/>
    <n v="1"/>
    <s v="Male"/>
    <n v="52"/>
    <n v="3"/>
    <n v="4"/>
    <x v="5"/>
    <n v="3"/>
    <s v="Married"/>
    <n v="17465"/>
    <n v="15596"/>
    <n v="3"/>
    <s v="No"/>
    <n v="12"/>
    <n v="3"/>
    <n v="4"/>
    <n v="1"/>
    <n v="23"/>
    <n v="3"/>
    <n v="3"/>
    <n v="12"/>
    <n v="9"/>
    <n v="4"/>
    <n v="9"/>
    <x v="1"/>
    <n v="157185"/>
    <x v="1"/>
    <n v="0"/>
  </r>
  <r>
    <n v="38"/>
    <x v="1"/>
    <s v="Travel_Rarely"/>
    <n v="130"/>
    <x v="0"/>
    <n v="2"/>
    <n v="2"/>
    <s v="Marketing"/>
    <n v="1125"/>
    <n v="4"/>
    <s v="Male"/>
    <n v="32"/>
    <n v="3"/>
    <n v="3"/>
    <x v="0"/>
    <n v="2"/>
    <s v="Single"/>
    <n v="7351"/>
    <n v="20619"/>
    <n v="7"/>
    <s v="No"/>
    <n v="16"/>
    <n v="3"/>
    <n v="3"/>
    <n v="0"/>
    <n v="10"/>
    <n v="2"/>
    <n v="3"/>
    <n v="1"/>
    <n v="0"/>
    <n v="0"/>
    <n v="0"/>
    <x v="3"/>
    <n v="66159"/>
    <x v="0"/>
    <n v="0"/>
  </r>
  <r>
    <n v="43"/>
    <x v="1"/>
    <s v="Travel_Frequently"/>
    <n v="1082"/>
    <x v="1"/>
    <n v="27"/>
    <n v="3"/>
    <s v="Life Sciences"/>
    <n v="1126"/>
    <n v="3"/>
    <s v="Female"/>
    <n v="83"/>
    <n v="3"/>
    <n v="3"/>
    <x v="3"/>
    <n v="1"/>
    <s v="Married"/>
    <n v="10820"/>
    <n v="11535"/>
    <n v="8"/>
    <s v="No"/>
    <n v="11"/>
    <n v="3"/>
    <n v="3"/>
    <n v="1"/>
    <n v="18"/>
    <n v="1"/>
    <n v="3"/>
    <n v="8"/>
    <n v="7"/>
    <n v="0"/>
    <n v="1"/>
    <x v="1"/>
    <n v="97380"/>
    <x v="0"/>
    <n v="0"/>
  </r>
  <r>
    <n v="39"/>
    <x v="0"/>
    <s v="Travel_Frequently"/>
    <n v="203"/>
    <x v="1"/>
    <n v="2"/>
    <n v="3"/>
    <s v="Life Sciences"/>
    <n v="1127"/>
    <n v="1"/>
    <s v="Male"/>
    <n v="84"/>
    <n v="3"/>
    <n v="4"/>
    <x v="4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  <x v="1"/>
    <n v="109521"/>
    <x v="1"/>
    <n v="109521"/>
  </r>
  <r>
    <n v="40"/>
    <x v="1"/>
    <s v="Travel_Rarely"/>
    <n v="1308"/>
    <x v="1"/>
    <n v="14"/>
    <n v="3"/>
    <s v="Medical"/>
    <n v="1128"/>
    <n v="3"/>
    <s v="Male"/>
    <n v="44"/>
    <n v="2"/>
    <n v="5"/>
    <x v="7"/>
    <n v="3"/>
    <s v="Single"/>
    <n v="19626"/>
    <n v="17544"/>
    <n v="1"/>
    <s v="No"/>
    <n v="14"/>
    <n v="3"/>
    <n v="1"/>
    <n v="0"/>
    <n v="21"/>
    <n v="2"/>
    <n v="4"/>
    <n v="20"/>
    <n v="7"/>
    <n v="4"/>
    <n v="9"/>
    <x v="1"/>
    <n v="176634"/>
    <x v="1"/>
    <n v="0"/>
  </r>
  <r>
    <n v="21"/>
    <x v="1"/>
    <s v="Travel_Rarely"/>
    <n v="984"/>
    <x v="1"/>
    <n v="1"/>
    <n v="1"/>
    <s v="Technical Degree"/>
    <n v="1131"/>
    <n v="4"/>
    <s v="Female"/>
    <n v="70"/>
    <n v="2"/>
    <n v="1"/>
    <x v="1"/>
    <n v="2"/>
    <s v="Single"/>
    <n v="2070"/>
    <n v="25326"/>
    <n v="1"/>
    <s v="Yes"/>
    <n v="11"/>
    <n v="3"/>
    <n v="3"/>
    <n v="0"/>
    <n v="2"/>
    <n v="6"/>
    <n v="4"/>
    <n v="2"/>
    <n v="2"/>
    <n v="2"/>
    <n v="2"/>
    <x v="3"/>
    <n v="18630"/>
    <x v="2"/>
    <n v="0"/>
  </r>
  <r>
    <n v="39"/>
    <x v="1"/>
    <s v="Non-Travel"/>
    <n v="439"/>
    <x v="1"/>
    <n v="9"/>
    <n v="3"/>
    <s v="Life Sciences"/>
    <n v="1132"/>
    <n v="3"/>
    <s v="Male"/>
    <n v="70"/>
    <n v="3"/>
    <n v="2"/>
    <x v="2"/>
    <n v="2"/>
    <s v="Single"/>
    <n v="6782"/>
    <n v="8770"/>
    <n v="9"/>
    <s v="No"/>
    <n v="15"/>
    <n v="3"/>
    <n v="3"/>
    <n v="0"/>
    <n v="9"/>
    <n v="2"/>
    <n v="2"/>
    <n v="5"/>
    <n v="4"/>
    <n v="0"/>
    <n v="3"/>
    <x v="0"/>
    <n v="61038"/>
    <x v="0"/>
    <n v="0"/>
  </r>
  <r>
    <n v="36"/>
    <x v="1"/>
    <s v="Non-Travel"/>
    <n v="217"/>
    <x v="1"/>
    <n v="18"/>
    <n v="4"/>
    <s v="Life Sciences"/>
    <n v="1133"/>
    <n v="1"/>
    <s v="Male"/>
    <n v="78"/>
    <n v="3"/>
    <n v="2"/>
    <x v="3"/>
    <n v="4"/>
    <s v="Single"/>
    <n v="7779"/>
    <n v="23238"/>
    <n v="2"/>
    <s v="No"/>
    <n v="20"/>
    <n v="4"/>
    <n v="1"/>
    <n v="0"/>
    <n v="18"/>
    <n v="0"/>
    <n v="3"/>
    <n v="11"/>
    <n v="9"/>
    <n v="0"/>
    <n v="9"/>
    <x v="1"/>
    <n v="70011"/>
    <x v="1"/>
    <n v="0"/>
  </r>
  <r>
    <n v="31"/>
    <x v="1"/>
    <s v="Travel_Frequently"/>
    <n v="793"/>
    <x v="0"/>
    <n v="20"/>
    <n v="3"/>
    <s v="Life Sciences"/>
    <n v="1135"/>
    <n v="3"/>
    <s v="Male"/>
    <n v="67"/>
    <n v="4"/>
    <n v="1"/>
    <x v="6"/>
    <n v="4"/>
    <s v="Married"/>
    <n v="2791"/>
    <n v="21981"/>
    <n v="0"/>
    <s v="No"/>
    <n v="12"/>
    <n v="3"/>
    <n v="1"/>
    <n v="1"/>
    <n v="3"/>
    <n v="4"/>
    <n v="3"/>
    <n v="2"/>
    <n v="2"/>
    <n v="2"/>
    <n v="2"/>
    <x v="3"/>
    <n v="25119"/>
    <x v="1"/>
    <n v="0"/>
  </r>
  <r>
    <n v="28"/>
    <x v="1"/>
    <s v="Travel_Rarely"/>
    <n v="1451"/>
    <x v="1"/>
    <n v="2"/>
    <n v="1"/>
    <s v="Life Sciences"/>
    <n v="1136"/>
    <n v="1"/>
    <s v="Male"/>
    <n v="67"/>
    <n v="2"/>
    <n v="1"/>
    <x v="1"/>
    <n v="2"/>
    <s v="Married"/>
    <n v="3201"/>
    <n v="19911"/>
    <n v="0"/>
    <s v="No"/>
    <n v="17"/>
    <n v="3"/>
    <n v="1"/>
    <n v="0"/>
    <n v="6"/>
    <n v="2"/>
    <n v="1"/>
    <n v="5"/>
    <n v="3"/>
    <n v="0"/>
    <n v="4"/>
    <x v="0"/>
    <n v="28809"/>
    <x v="0"/>
    <n v="0"/>
  </r>
  <r>
    <n v="35"/>
    <x v="1"/>
    <s v="Travel_Frequently"/>
    <n v="1182"/>
    <x v="0"/>
    <n v="11"/>
    <n v="2"/>
    <s v="Marketing"/>
    <n v="1137"/>
    <n v="4"/>
    <s v="Male"/>
    <n v="54"/>
    <n v="3"/>
    <n v="2"/>
    <x v="0"/>
    <n v="4"/>
    <s v="Divorced"/>
    <n v="4968"/>
    <n v="18500"/>
    <n v="1"/>
    <s v="No"/>
    <n v="11"/>
    <n v="3"/>
    <n v="4"/>
    <n v="1"/>
    <n v="5"/>
    <n v="3"/>
    <n v="3"/>
    <n v="5"/>
    <n v="2"/>
    <n v="0"/>
    <n v="2"/>
    <x v="0"/>
    <n v="44712"/>
    <x v="1"/>
    <n v="0"/>
  </r>
  <r>
    <n v="49"/>
    <x v="1"/>
    <s v="Travel_Rarely"/>
    <n v="174"/>
    <x v="0"/>
    <n v="8"/>
    <n v="4"/>
    <s v="Technical Degree"/>
    <n v="1138"/>
    <n v="4"/>
    <s v="Male"/>
    <n v="56"/>
    <n v="2"/>
    <n v="4"/>
    <x v="0"/>
    <n v="2"/>
    <s v="Married"/>
    <n v="13120"/>
    <n v="11879"/>
    <n v="6"/>
    <s v="No"/>
    <n v="17"/>
    <n v="3"/>
    <n v="2"/>
    <n v="1"/>
    <n v="22"/>
    <n v="3"/>
    <n v="3"/>
    <n v="9"/>
    <n v="8"/>
    <n v="2"/>
    <n v="3"/>
    <x v="1"/>
    <n v="118080"/>
    <x v="0"/>
    <n v="0"/>
  </r>
  <r>
    <n v="34"/>
    <x v="1"/>
    <s v="Travel_Frequently"/>
    <n v="1003"/>
    <x v="1"/>
    <n v="2"/>
    <n v="2"/>
    <s v="Life Sciences"/>
    <n v="1140"/>
    <n v="4"/>
    <s v="Male"/>
    <n v="95"/>
    <n v="3"/>
    <n v="2"/>
    <x v="3"/>
    <n v="3"/>
    <s v="Single"/>
    <n v="4033"/>
    <n v="15834"/>
    <n v="2"/>
    <s v="No"/>
    <n v="11"/>
    <n v="3"/>
    <n v="4"/>
    <n v="0"/>
    <n v="5"/>
    <n v="3"/>
    <n v="2"/>
    <n v="3"/>
    <n v="2"/>
    <n v="0"/>
    <n v="2"/>
    <x v="3"/>
    <n v="36297"/>
    <x v="1"/>
    <n v="0"/>
  </r>
  <r>
    <n v="29"/>
    <x v="1"/>
    <s v="Travel_Frequently"/>
    <n v="490"/>
    <x v="1"/>
    <n v="10"/>
    <n v="3"/>
    <s v="Life Sciences"/>
    <n v="1143"/>
    <n v="4"/>
    <s v="Female"/>
    <n v="61"/>
    <n v="3"/>
    <n v="1"/>
    <x v="1"/>
    <n v="2"/>
    <s v="Divorced"/>
    <n v="3291"/>
    <n v="17940"/>
    <n v="0"/>
    <s v="No"/>
    <n v="14"/>
    <n v="3"/>
    <n v="4"/>
    <n v="2"/>
    <n v="8"/>
    <n v="2"/>
    <n v="2"/>
    <n v="7"/>
    <n v="5"/>
    <n v="1"/>
    <n v="1"/>
    <x v="1"/>
    <n v="29619"/>
    <x v="0"/>
    <n v="0"/>
  </r>
  <r>
    <n v="42"/>
    <x v="1"/>
    <s v="Travel_Rarely"/>
    <n v="188"/>
    <x v="1"/>
    <n v="29"/>
    <n v="3"/>
    <s v="Medical"/>
    <n v="1148"/>
    <n v="2"/>
    <s v="Male"/>
    <n v="56"/>
    <n v="1"/>
    <n v="2"/>
    <x v="2"/>
    <n v="4"/>
    <s v="Single"/>
    <n v="4272"/>
    <n v="9558"/>
    <n v="4"/>
    <s v="No"/>
    <n v="19"/>
    <n v="3"/>
    <n v="1"/>
    <n v="0"/>
    <n v="16"/>
    <n v="3"/>
    <n v="3"/>
    <n v="1"/>
    <n v="0"/>
    <n v="0"/>
    <n v="0"/>
    <x v="3"/>
    <n v="38448"/>
    <x v="1"/>
    <n v="0"/>
  </r>
  <r>
    <n v="29"/>
    <x v="1"/>
    <s v="Travel_Rarely"/>
    <n v="718"/>
    <x v="1"/>
    <n v="8"/>
    <n v="1"/>
    <s v="Medical"/>
    <n v="1150"/>
    <n v="2"/>
    <s v="Male"/>
    <n v="79"/>
    <n v="2"/>
    <n v="2"/>
    <x v="3"/>
    <n v="4"/>
    <s v="Married"/>
    <n v="5056"/>
    <n v="17689"/>
    <n v="1"/>
    <s v="Yes"/>
    <n v="15"/>
    <n v="3"/>
    <n v="3"/>
    <n v="1"/>
    <n v="10"/>
    <n v="2"/>
    <n v="2"/>
    <n v="10"/>
    <n v="7"/>
    <n v="1"/>
    <n v="2"/>
    <x v="1"/>
    <n v="45504"/>
    <x v="0"/>
    <n v="0"/>
  </r>
  <r>
    <n v="38"/>
    <x v="1"/>
    <s v="Travel_Rarely"/>
    <n v="433"/>
    <x v="2"/>
    <n v="1"/>
    <n v="3"/>
    <s v="Human Resources"/>
    <n v="1152"/>
    <n v="3"/>
    <s v="Male"/>
    <n v="37"/>
    <n v="4"/>
    <n v="1"/>
    <x v="8"/>
    <n v="3"/>
    <s v="Married"/>
    <n v="2844"/>
    <n v="6004"/>
    <n v="1"/>
    <s v="No"/>
    <n v="13"/>
    <n v="3"/>
    <n v="4"/>
    <n v="1"/>
    <n v="7"/>
    <n v="2"/>
    <n v="4"/>
    <n v="7"/>
    <n v="6"/>
    <n v="5"/>
    <n v="0"/>
    <x v="1"/>
    <n v="25596"/>
    <x v="1"/>
    <n v="0"/>
  </r>
  <r>
    <n v="28"/>
    <x v="1"/>
    <s v="Travel_Frequently"/>
    <n v="773"/>
    <x v="1"/>
    <n v="6"/>
    <n v="3"/>
    <s v="Life Sciences"/>
    <n v="1154"/>
    <n v="3"/>
    <s v="Male"/>
    <n v="39"/>
    <n v="2"/>
    <n v="1"/>
    <x v="1"/>
    <n v="3"/>
    <s v="Divorced"/>
    <n v="2703"/>
    <n v="22088"/>
    <n v="1"/>
    <s v="Yes"/>
    <n v="14"/>
    <n v="3"/>
    <n v="4"/>
    <n v="1"/>
    <n v="3"/>
    <n v="2"/>
    <n v="3"/>
    <n v="3"/>
    <n v="1"/>
    <n v="0"/>
    <n v="2"/>
    <x v="3"/>
    <n v="24327"/>
    <x v="0"/>
    <n v="0"/>
  </r>
  <r>
    <n v="18"/>
    <x v="0"/>
    <s v="Non-Travel"/>
    <n v="247"/>
    <x v="1"/>
    <n v="8"/>
    <n v="1"/>
    <s v="Medical"/>
    <n v="1156"/>
    <n v="3"/>
    <s v="Male"/>
    <n v="80"/>
    <n v="3"/>
    <n v="1"/>
    <x v="2"/>
    <n v="3"/>
    <s v="Single"/>
    <n v="1904"/>
    <n v="13556"/>
    <n v="1"/>
    <s v="No"/>
    <n v="12"/>
    <n v="3"/>
    <n v="4"/>
    <n v="0"/>
    <n v="0"/>
    <n v="0"/>
    <n v="3"/>
    <n v="0"/>
    <n v="0"/>
    <n v="0"/>
    <n v="0"/>
    <x v="2"/>
    <n v="17136"/>
    <x v="1"/>
    <n v="17136"/>
  </r>
  <r>
    <n v="33"/>
    <x v="0"/>
    <s v="Travel_Rarely"/>
    <n v="603"/>
    <x v="0"/>
    <n v="9"/>
    <n v="4"/>
    <s v="Marketing"/>
    <n v="1157"/>
    <n v="1"/>
    <s v="Female"/>
    <n v="77"/>
    <n v="3"/>
    <n v="2"/>
    <x v="0"/>
    <n v="1"/>
    <s v="Single"/>
    <n v="8224"/>
    <n v="18385"/>
    <n v="0"/>
    <s v="Yes"/>
    <n v="17"/>
    <n v="3"/>
    <n v="1"/>
    <n v="0"/>
    <n v="6"/>
    <n v="3"/>
    <n v="3"/>
    <n v="5"/>
    <n v="2"/>
    <n v="0"/>
    <n v="3"/>
    <x v="0"/>
    <n v="74016"/>
    <x v="0"/>
    <n v="74016"/>
  </r>
  <r>
    <n v="41"/>
    <x v="1"/>
    <s v="Travel_Rarely"/>
    <n v="167"/>
    <x v="1"/>
    <n v="12"/>
    <n v="4"/>
    <s v="Life Sciences"/>
    <n v="1158"/>
    <n v="2"/>
    <s v="Male"/>
    <n v="46"/>
    <n v="3"/>
    <n v="1"/>
    <x v="2"/>
    <n v="4"/>
    <s v="Married"/>
    <n v="4766"/>
    <n v="9051"/>
    <n v="3"/>
    <s v="Yes"/>
    <n v="11"/>
    <n v="3"/>
    <n v="1"/>
    <n v="1"/>
    <n v="6"/>
    <n v="4"/>
    <n v="3"/>
    <n v="1"/>
    <n v="0"/>
    <n v="0"/>
    <n v="0"/>
    <x v="3"/>
    <n v="42894"/>
    <x v="0"/>
    <n v="0"/>
  </r>
  <r>
    <n v="31"/>
    <x v="0"/>
    <s v="Travel_Frequently"/>
    <n v="874"/>
    <x v="1"/>
    <n v="15"/>
    <n v="3"/>
    <s v="Medical"/>
    <n v="1160"/>
    <n v="3"/>
    <s v="Male"/>
    <n v="72"/>
    <n v="3"/>
    <n v="1"/>
    <x v="2"/>
    <n v="3"/>
    <s v="Married"/>
    <n v="2610"/>
    <n v="6233"/>
    <n v="1"/>
    <s v="No"/>
    <n v="12"/>
    <n v="3"/>
    <n v="3"/>
    <n v="1"/>
    <n v="2"/>
    <n v="5"/>
    <n v="2"/>
    <n v="2"/>
    <n v="2"/>
    <n v="2"/>
    <n v="2"/>
    <x v="3"/>
    <n v="23490"/>
    <x v="1"/>
    <n v="23490"/>
  </r>
  <r>
    <n v="37"/>
    <x v="1"/>
    <s v="Travel_Rarely"/>
    <n v="367"/>
    <x v="1"/>
    <n v="25"/>
    <n v="2"/>
    <s v="Medical"/>
    <n v="1161"/>
    <n v="3"/>
    <s v="Female"/>
    <n v="52"/>
    <n v="2"/>
    <n v="2"/>
    <x v="4"/>
    <n v="4"/>
    <s v="Divorced"/>
    <n v="5731"/>
    <n v="17171"/>
    <n v="7"/>
    <s v="No"/>
    <n v="13"/>
    <n v="3"/>
    <n v="3"/>
    <n v="2"/>
    <n v="9"/>
    <n v="2"/>
    <n v="3"/>
    <n v="6"/>
    <n v="2"/>
    <n v="1"/>
    <n v="3"/>
    <x v="0"/>
    <n v="51579"/>
    <x v="1"/>
    <n v="0"/>
  </r>
  <r>
    <n v="27"/>
    <x v="1"/>
    <s v="Travel_Rarely"/>
    <n v="199"/>
    <x v="1"/>
    <n v="6"/>
    <n v="3"/>
    <s v="Life Sciences"/>
    <n v="1162"/>
    <n v="4"/>
    <s v="Male"/>
    <n v="55"/>
    <n v="2"/>
    <n v="1"/>
    <x v="1"/>
    <n v="3"/>
    <s v="Married"/>
    <n v="2539"/>
    <n v="7950"/>
    <n v="1"/>
    <s v="No"/>
    <n v="13"/>
    <n v="3"/>
    <n v="3"/>
    <n v="1"/>
    <n v="4"/>
    <n v="0"/>
    <n v="3"/>
    <n v="4"/>
    <n v="2"/>
    <n v="2"/>
    <n v="2"/>
    <x v="0"/>
    <n v="22851"/>
    <x v="1"/>
    <n v="0"/>
  </r>
  <r>
    <n v="34"/>
    <x v="1"/>
    <s v="Travel_Rarely"/>
    <n v="1400"/>
    <x v="0"/>
    <n v="9"/>
    <n v="1"/>
    <s v="Life Sciences"/>
    <n v="1163"/>
    <n v="2"/>
    <s v="Female"/>
    <n v="70"/>
    <n v="3"/>
    <n v="2"/>
    <x v="0"/>
    <n v="3"/>
    <s v="Married"/>
    <n v="5714"/>
    <n v="5829"/>
    <n v="1"/>
    <s v="No"/>
    <n v="20"/>
    <n v="4"/>
    <n v="1"/>
    <n v="0"/>
    <n v="6"/>
    <n v="3"/>
    <n v="2"/>
    <n v="6"/>
    <n v="5"/>
    <n v="1"/>
    <n v="3"/>
    <x v="0"/>
    <n v="51426"/>
    <x v="1"/>
    <n v="0"/>
  </r>
  <r>
    <n v="35"/>
    <x v="1"/>
    <s v="Travel_Rarely"/>
    <n v="528"/>
    <x v="2"/>
    <n v="8"/>
    <n v="4"/>
    <s v="Technical Degree"/>
    <n v="1164"/>
    <n v="3"/>
    <s v="Male"/>
    <n v="100"/>
    <n v="3"/>
    <n v="1"/>
    <x v="8"/>
    <n v="3"/>
    <s v="Single"/>
    <n v="4323"/>
    <n v="7108"/>
    <n v="1"/>
    <s v="No"/>
    <n v="17"/>
    <n v="3"/>
    <n v="2"/>
    <n v="0"/>
    <n v="6"/>
    <n v="2"/>
    <n v="1"/>
    <n v="5"/>
    <n v="4"/>
    <n v="1"/>
    <n v="4"/>
    <x v="0"/>
    <n v="38907"/>
    <x v="1"/>
    <n v="0"/>
  </r>
  <r>
    <n v="29"/>
    <x v="0"/>
    <s v="Travel_Rarely"/>
    <n v="408"/>
    <x v="0"/>
    <n v="23"/>
    <n v="1"/>
    <s v="Life Sciences"/>
    <n v="1165"/>
    <n v="4"/>
    <s v="Female"/>
    <n v="45"/>
    <n v="2"/>
    <n v="3"/>
    <x v="0"/>
    <n v="1"/>
    <s v="Married"/>
    <n v="7336"/>
    <n v="11162"/>
    <n v="1"/>
    <s v="No"/>
    <n v="13"/>
    <n v="3"/>
    <n v="1"/>
    <n v="1"/>
    <n v="11"/>
    <n v="3"/>
    <n v="1"/>
    <n v="11"/>
    <n v="8"/>
    <n v="3"/>
    <n v="10"/>
    <x v="1"/>
    <n v="66024"/>
    <x v="0"/>
    <n v="66024"/>
  </r>
  <r>
    <n v="40"/>
    <x v="1"/>
    <s v="Travel_Frequently"/>
    <n v="593"/>
    <x v="1"/>
    <n v="9"/>
    <n v="4"/>
    <s v="Medical"/>
    <n v="1166"/>
    <n v="2"/>
    <s v="Female"/>
    <n v="88"/>
    <n v="3"/>
    <n v="3"/>
    <x v="7"/>
    <n v="3"/>
    <s v="Single"/>
    <n v="13499"/>
    <n v="13782"/>
    <n v="9"/>
    <s v="No"/>
    <n v="17"/>
    <n v="3"/>
    <n v="3"/>
    <n v="0"/>
    <n v="20"/>
    <n v="3"/>
    <n v="2"/>
    <n v="18"/>
    <n v="7"/>
    <n v="2"/>
    <n v="13"/>
    <x v="1"/>
    <n v="121491"/>
    <x v="1"/>
    <n v="0"/>
  </r>
  <r>
    <n v="42"/>
    <x v="0"/>
    <s v="Travel_Frequently"/>
    <n v="481"/>
    <x v="0"/>
    <n v="12"/>
    <n v="3"/>
    <s v="Life Sciences"/>
    <n v="1167"/>
    <n v="3"/>
    <s v="Male"/>
    <n v="44"/>
    <n v="3"/>
    <n v="4"/>
    <x v="0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  <x v="1"/>
    <n v="123822"/>
    <x v="0"/>
    <n v="123822"/>
  </r>
  <r>
    <n v="42"/>
    <x v="1"/>
    <s v="Travel_Rarely"/>
    <n v="647"/>
    <x v="0"/>
    <n v="4"/>
    <n v="4"/>
    <s v="Marketing"/>
    <n v="1171"/>
    <n v="2"/>
    <s v="Male"/>
    <n v="45"/>
    <n v="3"/>
    <n v="2"/>
    <x v="0"/>
    <n v="1"/>
    <s v="Single"/>
    <n v="5155"/>
    <n v="2253"/>
    <n v="7"/>
    <s v="No"/>
    <n v="13"/>
    <n v="3"/>
    <n v="4"/>
    <n v="0"/>
    <n v="9"/>
    <n v="3"/>
    <n v="4"/>
    <n v="6"/>
    <n v="4"/>
    <n v="1"/>
    <n v="5"/>
    <x v="0"/>
    <n v="46395"/>
    <x v="0"/>
    <n v="0"/>
  </r>
  <r>
    <n v="35"/>
    <x v="1"/>
    <s v="Travel_Rarely"/>
    <n v="982"/>
    <x v="1"/>
    <n v="1"/>
    <n v="4"/>
    <s v="Medical"/>
    <n v="1172"/>
    <n v="4"/>
    <s v="Male"/>
    <n v="58"/>
    <n v="2"/>
    <n v="1"/>
    <x v="2"/>
    <n v="3"/>
    <s v="Married"/>
    <n v="2258"/>
    <n v="16340"/>
    <n v="6"/>
    <s v="No"/>
    <n v="12"/>
    <n v="3"/>
    <n v="2"/>
    <n v="1"/>
    <n v="10"/>
    <n v="2"/>
    <n v="3"/>
    <n v="8"/>
    <n v="0"/>
    <n v="1"/>
    <n v="7"/>
    <x v="1"/>
    <n v="20322"/>
    <x v="1"/>
    <n v="0"/>
  </r>
  <r>
    <n v="24"/>
    <x v="1"/>
    <s v="Travel_Rarely"/>
    <n v="477"/>
    <x v="1"/>
    <n v="24"/>
    <n v="3"/>
    <s v="Medical"/>
    <n v="1173"/>
    <n v="4"/>
    <s v="Male"/>
    <n v="49"/>
    <n v="3"/>
    <n v="1"/>
    <x v="2"/>
    <n v="2"/>
    <s v="Single"/>
    <n v="3597"/>
    <n v="6409"/>
    <n v="8"/>
    <s v="No"/>
    <n v="22"/>
    <n v="4"/>
    <n v="4"/>
    <n v="0"/>
    <n v="6"/>
    <n v="2"/>
    <n v="3"/>
    <n v="4"/>
    <n v="3"/>
    <n v="1"/>
    <n v="2"/>
    <x v="0"/>
    <n v="32373"/>
    <x v="0"/>
    <n v="0"/>
  </r>
  <r>
    <n v="28"/>
    <x v="0"/>
    <s v="Travel_Rarely"/>
    <n v="1485"/>
    <x v="1"/>
    <n v="12"/>
    <n v="1"/>
    <s v="Life Sciences"/>
    <n v="1175"/>
    <n v="3"/>
    <s v="Female"/>
    <n v="79"/>
    <n v="3"/>
    <n v="1"/>
    <x v="2"/>
    <n v="4"/>
    <s v="Married"/>
    <n v="2515"/>
    <n v="22955"/>
    <n v="1"/>
    <s v="Yes"/>
    <n v="11"/>
    <n v="3"/>
    <n v="4"/>
    <n v="0"/>
    <n v="1"/>
    <n v="4"/>
    <n v="2"/>
    <n v="1"/>
    <n v="1"/>
    <n v="0"/>
    <n v="0"/>
    <x v="3"/>
    <n v="22635"/>
    <x v="0"/>
    <n v="22635"/>
  </r>
  <r>
    <n v="26"/>
    <x v="1"/>
    <s v="Travel_Rarely"/>
    <n v="1384"/>
    <x v="1"/>
    <n v="3"/>
    <n v="4"/>
    <s v="Medical"/>
    <n v="1177"/>
    <n v="1"/>
    <s v="Male"/>
    <n v="82"/>
    <n v="4"/>
    <n v="1"/>
    <x v="2"/>
    <n v="4"/>
    <s v="Married"/>
    <n v="4420"/>
    <n v="13421"/>
    <n v="1"/>
    <s v="No"/>
    <n v="22"/>
    <n v="4"/>
    <n v="2"/>
    <n v="1"/>
    <n v="8"/>
    <n v="2"/>
    <n v="3"/>
    <n v="8"/>
    <n v="7"/>
    <n v="0"/>
    <n v="7"/>
    <x v="1"/>
    <n v="39780"/>
    <x v="1"/>
    <n v="0"/>
  </r>
  <r>
    <n v="30"/>
    <x v="1"/>
    <s v="Travel_Rarely"/>
    <n v="852"/>
    <x v="0"/>
    <n v="10"/>
    <n v="3"/>
    <s v="Marketing"/>
    <n v="1179"/>
    <n v="3"/>
    <s v="Male"/>
    <n v="72"/>
    <n v="2"/>
    <n v="2"/>
    <x v="0"/>
    <n v="3"/>
    <s v="Married"/>
    <n v="6578"/>
    <n v="2706"/>
    <n v="1"/>
    <s v="No"/>
    <n v="18"/>
    <n v="3"/>
    <n v="1"/>
    <n v="1"/>
    <n v="10"/>
    <n v="3"/>
    <n v="3"/>
    <n v="10"/>
    <n v="3"/>
    <n v="1"/>
    <n v="4"/>
    <x v="1"/>
    <n v="59202"/>
    <x v="1"/>
    <n v="0"/>
  </r>
  <r>
    <n v="40"/>
    <x v="1"/>
    <s v="Travel_Frequently"/>
    <n v="902"/>
    <x v="1"/>
    <n v="26"/>
    <n v="2"/>
    <s v="Medical"/>
    <n v="1180"/>
    <n v="3"/>
    <s v="Female"/>
    <n v="92"/>
    <n v="2"/>
    <n v="2"/>
    <x v="1"/>
    <n v="4"/>
    <s v="Married"/>
    <n v="4422"/>
    <n v="21203"/>
    <n v="3"/>
    <s v="Yes"/>
    <n v="13"/>
    <n v="3"/>
    <n v="4"/>
    <n v="1"/>
    <n v="16"/>
    <n v="3"/>
    <n v="1"/>
    <n v="1"/>
    <n v="1"/>
    <n v="0"/>
    <n v="0"/>
    <x v="3"/>
    <n v="39798"/>
    <x v="0"/>
    <n v="0"/>
  </r>
  <r>
    <n v="35"/>
    <x v="1"/>
    <s v="Travel_Rarely"/>
    <n v="819"/>
    <x v="1"/>
    <n v="2"/>
    <n v="3"/>
    <s v="Life Sciences"/>
    <n v="1182"/>
    <n v="3"/>
    <s v="Male"/>
    <n v="44"/>
    <n v="2"/>
    <n v="3"/>
    <x v="3"/>
    <n v="2"/>
    <s v="Divorced"/>
    <n v="10274"/>
    <n v="19588"/>
    <n v="2"/>
    <s v="No"/>
    <n v="18"/>
    <n v="3"/>
    <n v="2"/>
    <n v="1"/>
    <n v="15"/>
    <n v="2"/>
    <n v="4"/>
    <n v="7"/>
    <n v="7"/>
    <n v="6"/>
    <n v="4"/>
    <x v="1"/>
    <n v="92466"/>
    <x v="0"/>
    <n v="0"/>
  </r>
  <r>
    <n v="34"/>
    <x v="1"/>
    <s v="Travel_Frequently"/>
    <n v="669"/>
    <x v="1"/>
    <n v="1"/>
    <n v="3"/>
    <s v="Medical"/>
    <n v="1184"/>
    <n v="4"/>
    <s v="Male"/>
    <n v="97"/>
    <n v="2"/>
    <n v="2"/>
    <x v="4"/>
    <n v="1"/>
    <s v="Single"/>
    <n v="5343"/>
    <n v="25755"/>
    <n v="0"/>
    <s v="No"/>
    <n v="20"/>
    <n v="4"/>
    <n v="3"/>
    <n v="0"/>
    <n v="14"/>
    <n v="3"/>
    <n v="3"/>
    <n v="13"/>
    <n v="9"/>
    <n v="4"/>
    <n v="9"/>
    <x v="1"/>
    <n v="48087"/>
    <x v="0"/>
    <n v="0"/>
  </r>
  <r>
    <n v="35"/>
    <x v="1"/>
    <s v="Travel_Frequently"/>
    <n v="636"/>
    <x v="1"/>
    <n v="4"/>
    <n v="4"/>
    <s v="Other"/>
    <n v="1185"/>
    <n v="4"/>
    <s v="Male"/>
    <n v="47"/>
    <n v="2"/>
    <n v="1"/>
    <x v="2"/>
    <n v="4"/>
    <s v="Married"/>
    <n v="2376"/>
    <n v="26537"/>
    <n v="1"/>
    <s v="No"/>
    <n v="13"/>
    <n v="3"/>
    <n v="2"/>
    <n v="1"/>
    <n v="2"/>
    <n v="2"/>
    <n v="4"/>
    <n v="2"/>
    <n v="2"/>
    <n v="2"/>
    <n v="2"/>
    <x v="3"/>
    <n v="21384"/>
    <x v="1"/>
    <n v="0"/>
  </r>
  <r>
    <n v="43"/>
    <x v="0"/>
    <s v="Travel_Rarely"/>
    <n v="1372"/>
    <x v="0"/>
    <n v="9"/>
    <n v="3"/>
    <s v="Marketing"/>
    <n v="1188"/>
    <n v="1"/>
    <s v="Female"/>
    <n v="85"/>
    <n v="1"/>
    <n v="2"/>
    <x v="0"/>
    <n v="3"/>
    <s v="Single"/>
    <n v="5346"/>
    <n v="9489"/>
    <n v="8"/>
    <s v="No"/>
    <n v="13"/>
    <n v="3"/>
    <n v="2"/>
    <n v="0"/>
    <n v="7"/>
    <n v="2"/>
    <n v="2"/>
    <n v="4"/>
    <n v="3"/>
    <n v="1"/>
    <n v="3"/>
    <x v="0"/>
    <n v="48114"/>
    <x v="1"/>
    <n v="48114"/>
  </r>
  <r>
    <n v="32"/>
    <x v="1"/>
    <s v="Non-Travel"/>
    <n v="862"/>
    <x v="0"/>
    <n v="2"/>
    <n v="1"/>
    <s v="Life Sciences"/>
    <n v="1190"/>
    <n v="3"/>
    <s v="Female"/>
    <n v="76"/>
    <n v="3"/>
    <n v="1"/>
    <x v="6"/>
    <n v="1"/>
    <s v="Divorced"/>
    <n v="2827"/>
    <n v="14947"/>
    <n v="1"/>
    <s v="No"/>
    <n v="12"/>
    <n v="3"/>
    <n v="3"/>
    <n v="3"/>
    <n v="1"/>
    <n v="3"/>
    <n v="3"/>
    <n v="1"/>
    <n v="0"/>
    <n v="0"/>
    <n v="0"/>
    <x v="3"/>
    <n v="25443"/>
    <x v="0"/>
    <n v="0"/>
  </r>
  <r>
    <n v="56"/>
    <x v="1"/>
    <s v="Travel_Rarely"/>
    <n v="718"/>
    <x v="1"/>
    <n v="4"/>
    <n v="4"/>
    <s v="Technical Degree"/>
    <n v="1191"/>
    <n v="4"/>
    <s v="Female"/>
    <n v="92"/>
    <n v="3"/>
    <n v="5"/>
    <x v="5"/>
    <n v="1"/>
    <s v="Divorced"/>
    <n v="19943"/>
    <n v="18575"/>
    <n v="4"/>
    <s v="No"/>
    <n v="13"/>
    <n v="3"/>
    <n v="4"/>
    <n v="1"/>
    <n v="28"/>
    <n v="2"/>
    <n v="3"/>
    <n v="5"/>
    <n v="2"/>
    <n v="4"/>
    <n v="2"/>
    <x v="0"/>
    <n v="179487"/>
    <x v="0"/>
    <n v="0"/>
  </r>
  <r>
    <n v="29"/>
    <x v="1"/>
    <s v="Travel_Rarely"/>
    <n v="1401"/>
    <x v="1"/>
    <n v="6"/>
    <n v="1"/>
    <s v="Medical"/>
    <n v="1192"/>
    <n v="2"/>
    <s v="Female"/>
    <n v="54"/>
    <n v="3"/>
    <n v="1"/>
    <x v="2"/>
    <n v="4"/>
    <s v="Married"/>
    <n v="3131"/>
    <n v="26342"/>
    <n v="1"/>
    <s v="No"/>
    <n v="13"/>
    <n v="3"/>
    <n v="1"/>
    <n v="1"/>
    <n v="10"/>
    <n v="5"/>
    <n v="3"/>
    <n v="10"/>
    <n v="8"/>
    <n v="0"/>
    <n v="8"/>
    <x v="1"/>
    <n v="28179"/>
    <x v="1"/>
    <n v="0"/>
  </r>
  <r>
    <n v="19"/>
    <x v="1"/>
    <s v="Travel_Rarely"/>
    <n v="645"/>
    <x v="1"/>
    <n v="9"/>
    <n v="2"/>
    <s v="Life Sciences"/>
    <n v="1193"/>
    <n v="3"/>
    <s v="Male"/>
    <n v="54"/>
    <n v="3"/>
    <n v="1"/>
    <x v="1"/>
    <n v="1"/>
    <s v="Single"/>
    <n v="2552"/>
    <n v="7172"/>
    <n v="1"/>
    <s v="No"/>
    <n v="25"/>
    <n v="4"/>
    <n v="3"/>
    <n v="0"/>
    <n v="1"/>
    <n v="4"/>
    <n v="3"/>
    <n v="1"/>
    <n v="1"/>
    <n v="0"/>
    <n v="0"/>
    <x v="3"/>
    <n v="22968"/>
    <x v="0"/>
    <n v="0"/>
  </r>
  <r>
    <n v="45"/>
    <x v="1"/>
    <s v="Travel_Rarely"/>
    <n v="1457"/>
    <x v="1"/>
    <n v="7"/>
    <n v="3"/>
    <s v="Medical"/>
    <n v="1195"/>
    <n v="1"/>
    <s v="Female"/>
    <n v="83"/>
    <n v="3"/>
    <n v="1"/>
    <x v="1"/>
    <n v="3"/>
    <s v="Married"/>
    <n v="4477"/>
    <n v="20100"/>
    <n v="4"/>
    <s v="Yes"/>
    <n v="19"/>
    <n v="3"/>
    <n v="3"/>
    <n v="1"/>
    <n v="7"/>
    <n v="2"/>
    <n v="2"/>
    <n v="3"/>
    <n v="2"/>
    <n v="0"/>
    <n v="2"/>
    <x v="3"/>
    <n v="40293"/>
    <x v="0"/>
    <n v="0"/>
  </r>
  <r>
    <n v="37"/>
    <x v="1"/>
    <s v="Travel_Rarely"/>
    <n v="977"/>
    <x v="1"/>
    <n v="1"/>
    <n v="3"/>
    <s v="Life Sciences"/>
    <n v="1196"/>
    <n v="4"/>
    <s v="Female"/>
    <n v="56"/>
    <n v="2"/>
    <n v="2"/>
    <x v="3"/>
    <n v="4"/>
    <s v="Married"/>
    <n v="6474"/>
    <n v="9961"/>
    <n v="1"/>
    <s v="No"/>
    <n v="13"/>
    <n v="3"/>
    <n v="2"/>
    <n v="1"/>
    <n v="14"/>
    <n v="2"/>
    <n v="2"/>
    <n v="14"/>
    <n v="8"/>
    <n v="3"/>
    <n v="11"/>
    <x v="1"/>
    <n v="58266"/>
    <x v="1"/>
    <n v="0"/>
  </r>
  <r>
    <n v="20"/>
    <x v="1"/>
    <s v="Travel_Rarely"/>
    <n v="805"/>
    <x v="1"/>
    <n v="3"/>
    <n v="3"/>
    <s v="Life Sciences"/>
    <n v="1198"/>
    <n v="1"/>
    <s v="Male"/>
    <n v="87"/>
    <n v="2"/>
    <n v="1"/>
    <x v="2"/>
    <n v="3"/>
    <s v="Single"/>
    <n v="3033"/>
    <n v="12828"/>
    <n v="1"/>
    <s v="No"/>
    <n v="12"/>
    <n v="3"/>
    <n v="1"/>
    <n v="0"/>
    <n v="2"/>
    <n v="2"/>
    <n v="2"/>
    <n v="2"/>
    <n v="2"/>
    <n v="1"/>
    <n v="2"/>
    <x v="3"/>
    <n v="27297"/>
    <x v="1"/>
    <n v="0"/>
  </r>
  <r>
    <n v="44"/>
    <x v="0"/>
    <s v="Travel_Rarely"/>
    <n v="1097"/>
    <x v="1"/>
    <n v="10"/>
    <n v="4"/>
    <s v="Life Sciences"/>
    <n v="1200"/>
    <n v="3"/>
    <s v="Male"/>
    <n v="96"/>
    <n v="3"/>
    <n v="1"/>
    <x v="1"/>
    <n v="3"/>
    <s v="Single"/>
    <n v="2936"/>
    <n v="10826"/>
    <n v="1"/>
    <s v="Yes"/>
    <n v="11"/>
    <n v="3"/>
    <n v="3"/>
    <n v="0"/>
    <n v="6"/>
    <n v="4"/>
    <n v="3"/>
    <n v="6"/>
    <n v="4"/>
    <n v="0"/>
    <n v="2"/>
    <x v="0"/>
    <n v="26424"/>
    <x v="0"/>
    <n v="26424"/>
  </r>
  <r>
    <n v="53"/>
    <x v="1"/>
    <s v="Travel_Rarely"/>
    <n v="1223"/>
    <x v="1"/>
    <n v="7"/>
    <n v="2"/>
    <s v="Medical"/>
    <n v="1201"/>
    <n v="4"/>
    <s v="Female"/>
    <n v="50"/>
    <n v="3"/>
    <n v="5"/>
    <x v="5"/>
    <n v="3"/>
    <s v="Divorced"/>
    <n v="18606"/>
    <n v="18640"/>
    <n v="3"/>
    <s v="No"/>
    <n v="18"/>
    <n v="3"/>
    <n v="2"/>
    <n v="1"/>
    <n v="26"/>
    <n v="6"/>
    <n v="3"/>
    <n v="7"/>
    <n v="7"/>
    <n v="4"/>
    <n v="7"/>
    <x v="1"/>
    <n v="167454"/>
    <x v="1"/>
    <n v="0"/>
  </r>
  <r>
    <n v="29"/>
    <x v="1"/>
    <s v="Travel_Rarely"/>
    <n v="942"/>
    <x v="1"/>
    <n v="15"/>
    <n v="1"/>
    <s v="Life Sciences"/>
    <n v="1202"/>
    <n v="2"/>
    <s v="Female"/>
    <n v="69"/>
    <n v="1"/>
    <n v="1"/>
    <x v="1"/>
    <n v="4"/>
    <s v="Married"/>
    <n v="2168"/>
    <n v="26933"/>
    <n v="0"/>
    <s v="Yes"/>
    <n v="18"/>
    <n v="3"/>
    <n v="1"/>
    <n v="1"/>
    <n v="6"/>
    <n v="2"/>
    <n v="2"/>
    <n v="5"/>
    <n v="4"/>
    <n v="1"/>
    <n v="3"/>
    <x v="0"/>
    <n v="19512"/>
    <x v="0"/>
    <n v="0"/>
  </r>
  <r>
    <n v="22"/>
    <x v="0"/>
    <s v="Travel_Frequently"/>
    <n v="1256"/>
    <x v="1"/>
    <n v="3"/>
    <n v="4"/>
    <s v="Life Sciences"/>
    <n v="1203"/>
    <n v="3"/>
    <s v="Male"/>
    <n v="48"/>
    <n v="2"/>
    <n v="1"/>
    <x v="1"/>
    <n v="4"/>
    <s v="Married"/>
    <n v="2853"/>
    <n v="4223"/>
    <n v="0"/>
    <s v="Yes"/>
    <n v="11"/>
    <n v="3"/>
    <n v="2"/>
    <n v="1"/>
    <n v="1"/>
    <n v="5"/>
    <n v="3"/>
    <n v="0"/>
    <n v="0"/>
    <n v="0"/>
    <n v="0"/>
    <x v="2"/>
    <n v="25677"/>
    <x v="0"/>
    <n v="25677"/>
  </r>
  <r>
    <n v="46"/>
    <x v="1"/>
    <s v="Travel_Rarely"/>
    <n v="1402"/>
    <x v="0"/>
    <n v="2"/>
    <n v="3"/>
    <s v="Marketing"/>
    <n v="1204"/>
    <n v="3"/>
    <s v="Female"/>
    <n v="69"/>
    <n v="3"/>
    <n v="4"/>
    <x v="5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  <x v="1"/>
    <n v="153432"/>
    <x v="0"/>
    <n v="0"/>
  </r>
  <r>
    <n v="44"/>
    <x v="1"/>
    <s v="Non-Travel"/>
    <n v="111"/>
    <x v="1"/>
    <n v="17"/>
    <n v="3"/>
    <s v="Life Sciences"/>
    <n v="1206"/>
    <n v="4"/>
    <s v="Male"/>
    <n v="74"/>
    <n v="1"/>
    <n v="1"/>
    <x v="1"/>
    <n v="3"/>
    <s v="Single"/>
    <n v="2290"/>
    <n v="4279"/>
    <n v="2"/>
    <s v="No"/>
    <n v="13"/>
    <n v="3"/>
    <n v="4"/>
    <n v="0"/>
    <n v="6"/>
    <n v="3"/>
    <n v="3"/>
    <n v="0"/>
    <n v="0"/>
    <n v="0"/>
    <n v="0"/>
    <x v="2"/>
    <n v="20610"/>
    <x v="1"/>
    <n v="0"/>
  </r>
  <r>
    <n v="33"/>
    <x v="1"/>
    <s v="Travel_Rarely"/>
    <n v="147"/>
    <x v="2"/>
    <n v="2"/>
    <n v="3"/>
    <s v="Human Resources"/>
    <n v="1207"/>
    <n v="2"/>
    <s v="Male"/>
    <n v="99"/>
    <n v="3"/>
    <n v="1"/>
    <x v="8"/>
    <n v="3"/>
    <s v="Married"/>
    <n v="3600"/>
    <n v="8429"/>
    <n v="1"/>
    <s v="No"/>
    <n v="13"/>
    <n v="3"/>
    <n v="4"/>
    <n v="1"/>
    <n v="5"/>
    <n v="2"/>
    <n v="3"/>
    <n v="5"/>
    <n v="4"/>
    <n v="1"/>
    <n v="4"/>
    <x v="0"/>
    <n v="32400"/>
    <x v="1"/>
    <n v="0"/>
  </r>
  <r>
    <n v="41"/>
    <x v="0"/>
    <s v="Non-Travel"/>
    <n v="906"/>
    <x v="1"/>
    <n v="5"/>
    <n v="2"/>
    <s v="Life Sciences"/>
    <n v="1210"/>
    <n v="1"/>
    <s v="Male"/>
    <n v="95"/>
    <n v="2"/>
    <n v="1"/>
    <x v="1"/>
    <n v="1"/>
    <s v="Divorced"/>
    <n v="2107"/>
    <n v="20293"/>
    <n v="6"/>
    <s v="No"/>
    <n v="17"/>
    <n v="3"/>
    <n v="1"/>
    <n v="1"/>
    <n v="5"/>
    <n v="2"/>
    <n v="1"/>
    <n v="1"/>
    <n v="0"/>
    <n v="0"/>
    <n v="0"/>
    <x v="3"/>
    <n v="18963"/>
    <x v="0"/>
    <n v="18963"/>
  </r>
  <r>
    <n v="30"/>
    <x v="1"/>
    <s v="Travel_Rarely"/>
    <n v="1329"/>
    <x v="0"/>
    <n v="29"/>
    <n v="4"/>
    <s v="Life Sciences"/>
    <n v="1211"/>
    <n v="3"/>
    <s v="Male"/>
    <n v="61"/>
    <n v="3"/>
    <n v="2"/>
    <x v="0"/>
    <n v="1"/>
    <s v="Divorced"/>
    <n v="4115"/>
    <n v="13192"/>
    <n v="8"/>
    <s v="No"/>
    <n v="19"/>
    <n v="3"/>
    <n v="3"/>
    <n v="3"/>
    <n v="8"/>
    <n v="3"/>
    <n v="3"/>
    <n v="4"/>
    <n v="3"/>
    <n v="0"/>
    <n v="3"/>
    <x v="0"/>
    <n v="37035"/>
    <x v="0"/>
    <n v="0"/>
  </r>
  <r>
    <n v="40"/>
    <x v="1"/>
    <s v="Travel_Frequently"/>
    <n v="1184"/>
    <x v="0"/>
    <n v="2"/>
    <n v="4"/>
    <s v="Medical"/>
    <n v="1212"/>
    <n v="2"/>
    <s v="Male"/>
    <n v="62"/>
    <n v="3"/>
    <n v="2"/>
    <x v="0"/>
    <n v="2"/>
    <s v="Married"/>
    <n v="4327"/>
    <n v="25440"/>
    <n v="5"/>
    <s v="No"/>
    <n v="12"/>
    <n v="3"/>
    <n v="4"/>
    <n v="3"/>
    <n v="5"/>
    <n v="2"/>
    <n v="3"/>
    <n v="0"/>
    <n v="0"/>
    <n v="0"/>
    <n v="0"/>
    <x v="2"/>
    <n v="38943"/>
    <x v="0"/>
    <n v="0"/>
  </r>
  <r>
    <n v="50"/>
    <x v="1"/>
    <s v="Travel_Frequently"/>
    <n v="1421"/>
    <x v="1"/>
    <n v="2"/>
    <n v="3"/>
    <s v="Medical"/>
    <n v="1215"/>
    <n v="4"/>
    <s v="Female"/>
    <n v="30"/>
    <n v="3"/>
    <n v="4"/>
    <x v="5"/>
    <n v="1"/>
    <s v="Married"/>
    <n v="17856"/>
    <n v="9490"/>
    <n v="2"/>
    <s v="No"/>
    <n v="22"/>
    <n v="4"/>
    <n v="3"/>
    <n v="1"/>
    <n v="32"/>
    <n v="3"/>
    <n v="3"/>
    <n v="2"/>
    <n v="2"/>
    <n v="2"/>
    <n v="2"/>
    <x v="3"/>
    <n v="160704"/>
    <x v="0"/>
    <n v="0"/>
  </r>
  <r>
    <n v="28"/>
    <x v="1"/>
    <s v="Travel_Rarely"/>
    <n v="1179"/>
    <x v="1"/>
    <n v="19"/>
    <n v="4"/>
    <s v="Medical"/>
    <n v="1216"/>
    <n v="4"/>
    <s v="Male"/>
    <n v="78"/>
    <n v="2"/>
    <n v="1"/>
    <x v="2"/>
    <n v="1"/>
    <s v="Married"/>
    <n v="3196"/>
    <n v="12449"/>
    <n v="1"/>
    <s v="No"/>
    <n v="12"/>
    <n v="3"/>
    <n v="3"/>
    <n v="3"/>
    <n v="6"/>
    <n v="2"/>
    <n v="3"/>
    <n v="6"/>
    <n v="5"/>
    <n v="3"/>
    <n v="3"/>
    <x v="0"/>
    <n v="28764"/>
    <x v="0"/>
    <n v="0"/>
  </r>
  <r>
    <n v="46"/>
    <x v="1"/>
    <s v="Travel_Rarely"/>
    <n v="1450"/>
    <x v="1"/>
    <n v="15"/>
    <n v="2"/>
    <s v="Life Sciences"/>
    <n v="1217"/>
    <n v="4"/>
    <s v="Male"/>
    <n v="52"/>
    <n v="3"/>
    <n v="5"/>
    <x v="7"/>
    <n v="2"/>
    <s v="Married"/>
    <n v="19081"/>
    <n v="10849"/>
    <n v="5"/>
    <s v="No"/>
    <n v="11"/>
    <n v="3"/>
    <n v="1"/>
    <n v="1"/>
    <n v="25"/>
    <n v="2"/>
    <n v="3"/>
    <n v="4"/>
    <n v="2"/>
    <n v="0"/>
    <n v="3"/>
    <x v="0"/>
    <n v="171729"/>
    <x v="0"/>
    <n v="0"/>
  </r>
  <r>
    <n v="35"/>
    <x v="1"/>
    <s v="Travel_Rarely"/>
    <n v="1361"/>
    <x v="0"/>
    <n v="17"/>
    <n v="4"/>
    <s v="Life Sciences"/>
    <n v="1218"/>
    <n v="3"/>
    <s v="Male"/>
    <n v="94"/>
    <n v="3"/>
    <n v="2"/>
    <x v="0"/>
    <n v="1"/>
    <s v="Married"/>
    <n v="8966"/>
    <n v="21026"/>
    <n v="3"/>
    <s v="Yes"/>
    <n v="15"/>
    <n v="3"/>
    <n v="4"/>
    <n v="3"/>
    <n v="15"/>
    <n v="2"/>
    <n v="3"/>
    <n v="7"/>
    <n v="7"/>
    <n v="1"/>
    <n v="7"/>
    <x v="1"/>
    <n v="80694"/>
    <x v="0"/>
    <n v="0"/>
  </r>
  <r>
    <n v="24"/>
    <x v="0"/>
    <s v="Travel_Rarely"/>
    <n v="984"/>
    <x v="1"/>
    <n v="17"/>
    <n v="2"/>
    <s v="Life Sciences"/>
    <n v="1219"/>
    <n v="4"/>
    <s v="Female"/>
    <n v="97"/>
    <n v="3"/>
    <n v="1"/>
    <x v="2"/>
    <n v="2"/>
    <s v="Married"/>
    <n v="2210"/>
    <n v="3372"/>
    <n v="1"/>
    <s v="No"/>
    <n v="13"/>
    <n v="3"/>
    <n v="1"/>
    <n v="1"/>
    <n v="1"/>
    <n v="3"/>
    <n v="1"/>
    <n v="1"/>
    <n v="0"/>
    <n v="0"/>
    <n v="0"/>
    <x v="3"/>
    <n v="19890"/>
    <x v="0"/>
    <n v="19890"/>
  </r>
  <r>
    <n v="33"/>
    <x v="1"/>
    <s v="Travel_Frequently"/>
    <n v="1146"/>
    <x v="0"/>
    <n v="25"/>
    <n v="3"/>
    <s v="Medical"/>
    <n v="1220"/>
    <n v="2"/>
    <s v="Female"/>
    <n v="82"/>
    <n v="3"/>
    <n v="2"/>
    <x v="0"/>
    <n v="3"/>
    <s v="Married"/>
    <n v="4539"/>
    <n v="4905"/>
    <n v="1"/>
    <s v="No"/>
    <n v="12"/>
    <n v="3"/>
    <n v="1"/>
    <n v="1"/>
    <n v="10"/>
    <n v="3"/>
    <n v="2"/>
    <n v="10"/>
    <n v="7"/>
    <n v="0"/>
    <n v="1"/>
    <x v="1"/>
    <n v="40851"/>
    <x v="1"/>
    <n v="0"/>
  </r>
  <r>
    <n v="36"/>
    <x v="1"/>
    <s v="Travel_Rarely"/>
    <n v="917"/>
    <x v="1"/>
    <n v="6"/>
    <n v="4"/>
    <s v="Life Sciences"/>
    <n v="1221"/>
    <n v="3"/>
    <s v="Male"/>
    <n v="60"/>
    <n v="1"/>
    <n v="1"/>
    <x v="2"/>
    <n v="3"/>
    <s v="Divorced"/>
    <n v="2741"/>
    <n v="6865"/>
    <n v="1"/>
    <s v="No"/>
    <n v="14"/>
    <n v="3"/>
    <n v="3"/>
    <n v="1"/>
    <n v="7"/>
    <n v="4"/>
    <n v="3"/>
    <n v="7"/>
    <n v="7"/>
    <n v="1"/>
    <n v="7"/>
    <x v="1"/>
    <n v="24669"/>
    <x v="1"/>
    <n v="0"/>
  </r>
  <r>
    <n v="30"/>
    <x v="1"/>
    <s v="Travel_Rarely"/>
    <n v="853"/>
    <x v="1"/>
    <n v="7"/>
    <n v="4"/>
    <s v="Life Sciences"/>
    <n v="1224"/>
    <n v="3"/>
    <s v="Male"/>
    <n v="49"/>
    <n v="3"/>
    <n v="2"/>
    <x v="2"/>
    <n v="3"/>
    <s v="Divorced"/>
    <n v="3491"/>
    <n v="11309"/>
    <n v="1"/>
    <s v="No"/>
    <n v="13"/>
    <n v="3"/>
    <n v="1"/>
    <n v="3"/>
    <n v="10"/>
    <n v="4"/>
    <n v="2"/>
    <n v="10"/>
    <n v="7"/>
    <n v="8"/>
    <n v="9"/>
    <x v="1"/>
    <n v="31419"/>
    <x v="1"/>
    <n v="0"/>
  </r>
  <r>
    <n v="44"/>
    <x v="1"/>
    <s v="Travel_Rarely"/>
    <n v="200"/>
    <x v="1"/>
    <n v="29"/>
    <n v="4"/>
    <s v="Other"/>
    <n v="1225"/>
    <n v="4"/>
    <s v="Male"/>
    <n v="32"/>
    <n v="3"/>
    <n v="2"/>
    <x v="1"/>
    <n v="4"/>
    <s v="Single"/>
    <n v="4541"/>
    <n v="7744"/>
    <n v="1"/>
    <s v="No"/>
    <n v="25"/>
    <n v="4"/>
    <n v="2"/>
    <n v="0"/>
    <n v="20"/>
    <n v="3"/>
    <n v="3"/>
    <n v="20"/>
    <n v="11"/>
    <n v="13"/>
    <n v="17"/>
    <x v="1"/>
    <n v="40869"/>
    <x v="1"/>
    <n v="0"/>
  </r>
  <r>
    <n v="20"/>
    <x v="1"/>
    <s v="Travel_Rarely"/>
    <n v="654"/>
    <x v="0"/>
    <n v="21"/>
    <n v="3"/>
    <s v="Marketing"/>
    <n v="1226"/>
    <n v="3"/>
    <s v="Male"/>
    <n v="43"/>
    <n v="4"/>
    <n v="1"/>
    <x v="6"/>
    <n v="4"/>
    <s v="Single"/>
    <n v="2678"/>
    <n v="5050"/>
    <n v="1"/>
    <s v="No"/>
    <n v="17"/>
    <n v="3"/>
    <n v="4"/>
    <n v="0"/>
    <n v="2"/>
    <n v="2"/>
    <n v="3"/>
    <n v="2"/>
    <n v="1"/>
    <n v="2"/>
    <n v="2"/>
    <x v="3"/>
    <n v="24102"/>
    <x v="1"/>
    <n v="0"/>
  </r>
  <r>
    <n v="46"/>
    <x v="1"/>
    <s v="Travel_Rarely"/>
    <n v="150"/>
    <x v="1"/>
    <n v="2"/>
    <n v="4"/>
    <s v="Technical Degree"/>
    <n v="1228"/>
    <n v="4"/>
    <s v="Male"/>
    <n v="60"/>
    <n v="3"/>
    <n v="2"/>
    <x v="3"/>
    <n v="4"/>
    <s v="Divorced"/>
    <n v="7379"/>
    <n v="17433"/>
    <n v="2"/>
    <s v="No"/>
    <n v="11"/>
    <n v="3"/>
    <n v="3"/>
    <n v="1"/>
    <n v="12"/>
    <n v="3"/>
    <n v="2"/>
    <n v="6"/>
    <n v="3"/>
    <n v="1"/>
    <n v="4"/>
    <x v="0"/>
    <n v="66411"/>
    <x v="1"/>
    <n v="0"/>
  </r>
  <r>
    <n v="42"/>
    <x v="1"/>
    <s v="Non-Travel"/>
    <n v="179"/>
    <x v="2"/>
    <n v="2"/>
    <n v="5"/>
    <s v="Medical"/>
    <n v="1231"/>
    <n v="4"/>
    <s v="Male"/>
    <n v="79"/>
    <n v="4"/>
    <n v="2"/>
    <x v="8"/>
    <n v="1"/>
    <s v="Married"/>
    <n v="6272"/>
    <n v="12858"/>
    <n v="7"/>
    <s v="No"/>
    <n v="16"/>
    <n v="3"/>
    <n v="1"/>
    <n v="1"/>
    <n v="10"/>
    <n v="3"/>
    <n v="4"/>
    <n v="4"/>
    <n v="3"/>
    <n v="0"/>
    <n v="3"/>
    <x v="0"/>
    <n v="56448"/>
    <x v="0"/>
    <n v="0"/>
  </r>
  <r>
    <n v="60"/>
    <x v="1"/>
    <s v="Travel_Rarely"/>
    <n v="696"/>
    <x v="0"/>
    <n v="7"/>
    <n v="4"/>
    <s v="Marketing"/>
    <n v="1233"/>
    <n v="2"/>
    <s v="Male"/>
    <n v="52"/>
    <n v="4"/>
    <n v="2"/>
    <x v="0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  <x v="1"/>
    <n v="46980"/>
    <x v="0"/>
    <n v="0"/>
  </r>
  <r>
    <n v="32"/>
    <x v="1"/>
    <s v="Travel_Frequently"/>
    <n v="116"/>
    <x v="1"/>
    <n v="13"/>
    <n v="3"/>
    <s v="Other"/>
    <n v="1234"/>
    <n v="3"/>
    <s v="Female"/>
    <n v="77"/>
    <n v="2"/>
    <n v="1"/>
    <x v="2"/>
    <n v="2"/>
    <s v="Married"/>
    <n v="2743"/>
    <n v="7331"/>
    <n v="1"/>
    <s v="No"/>
    <n v="20"/>
    <n v="4"/>
    <n v="3"/>
    <n v="1"/>
    <n v="2"/>
    <n v="2"/>
    <n v="3"/>
    <n v="2"/>
    <n v="2"/>
    <n v="2"/>
    <n v="2"/>
    <x v="3"/>
    <n v="24687"/>
    <x v="0"/>
    <n v="0"/>
  </r>
  <r>
    <n v="32"/>
    <x v="1"/>
    <s v="Travel_Frequently"/>
    <n v="1316"/>
    <x v="1"/>
    <n v="2"/>
    <n v="2"/>
    <s v="Life Sciences"/>
    <n v="1235"/>
    <n v="4"/>
    <s v="Female"/>
    <n v="38"/>
    <n v="3"/>
    <n v="2"/>
    <x v="1"/>
    <n v="3"/>
    <s v="Single"/>
    <n v="4998"/>
    <n v="2338"/>
    <n v="4"/>
    <s v="Yes"/>
    <n v="14"/>
    <n v="3"/>
    <n v="4"/>
    <n v="0"/>
    <n v="10"/>
    <n v="2"/>
    <n v="3"/>
    <n v="8"/>
    <n v="7"/>
    <n v="0"/>
    <n v="7"/>
    <x v="1"/>
    <n v="44982"/>
    <x v="0"/>
    <n v="0"/>
  </r>
  <r>
    <n v="36"/>
    <x v="1"/>
    <s v="Travel_Rarely"/>
    <n v="363"/>
    <x v="1"/>
    <n v="1"/>
    <n v="3"/>
    <s v="Technical Degree"/>
    <n v="1237"/>
    <n v="3"/>
    <s v="Female"/>
    <n v="77"/>
    <n v="1"/>
    <n v="3"/>
    <x v="3"/>
    <n v="1"/>
    <s v="Divorced"/>
    <n v="10252"/>
    <n v="4235"/>
    <n v="2"/>
    <s v="Yes"/>
    <n v="21"/>
    <n v="4"/>
    <n v="3"/>
    <n v="1"/>
    <n v="17"/>
    <n v="2"/>
    <n v="3"/>
    <n v="7"/>
    <n v="7"/>
    <n v="7"/>
    <n v="7"/>
    <x v="1"/>
    <n v="92268"/>
    <x v="0"/>
    <n v="0"/>
  </r>
  <r>
    <n v="33"/>
    <x v="1"/>
    <s v="Travel_Rarely"/>
    <n v="117"/>
    <x v="1"/>
    <n v="9"/>
    <n v="3"/>
    <s v="Medical"/>
    <n v="1238"/>
    <n v="1"/>
    <s v="Male"/>
    <n v="60"/>
    <n v="3"/>
    <n v="1"/>
    <x v="1"/>
    <n v="4"/>
    <s v="Married"/>
    <n v="2781"/>
    <n v="6311"/>
    <n v="0"/>
    <s v="No"/>
    <n v="13"/>
    <n v="3"/>
    <n v="2"/>
    <n v="1"/>
    <n v="15"/>
    <n v="5"/>
    <n v="3"/>
    <n v="14"/>
    <n v="10"/>
    <n v="4"/>
    <n v="10"/>
    <x v="1"/>
    <n v="25029"/>
    <x v="1"/>
    <n v="0"/>
  </r>
  <r>
    <n v="40"/>
    <x v="1"/>
    <s v="Travel_Rarely"/>
    <n v="107"/>
    <x v="0"/>
    <n v="10"/>
    <n v="3"/>
    <s v="Technical Degree"/>
    <n v="1239"/>
    <n v="2"/>
    <s v="Female"/>
    <n v="84"/>
    <n v="2"/>
    <n v="2"/>
    <x v="0"/>
    <n v="2"/>
    <s v="Divorced"/>
    <n v="6852"/>
    <n v="11591"/>
    <n v="7"/>
    <s v="No"/>
    <n v="12"/>
    <n v="3"/>
    <n v="2"/>
    <n v="1"/>
    <n v="7"/>
    <n v="2"/>
    <n v="4"/>
    <n v="5"/>
    <n v="1"/>
    <n v="1"/>
    <n v="3"/>
    <x v="0"/>
    <n v="61668"/>
    <x v="0"/>
    <n v="0"/>
  </r>
  <r>
    <n v="25"/>
    <x v="1"/>
    <s v="Travel_Rarely"/>
    <n v="1356"/>
    <x v="0"/>
    <n v="10"/>
    <n v="4"/>
    <s v="Life Sciences"/>
    <n v="1240"/>
    <n v="3"/>
    <s v="Male"/>
    <n v="57"/>
    <n v="3"/>
    <n v="2"/>
    <x v="0"/>
    <n v="4"/>
    <s v="Single"/>
    <n v="4950"/>
    <n v="20623"/>
    <n v="0"/>
    <s v="No"/>
    <n v="14"/>
    <n v="3"/>
    <n v="2"/>
    <n v="0"/>
    <n v="5"/>
    <n v="4"/>
    <n v="3"/>
    <n v="4"/>
    <n v="3"/>
    <n v="1"/>
    <n v="1"/>
    <x v="0"/>
    <n v="44550"/>
    <x v="1"/>
    <n v="0"/>
  </r>
  <r>
    <n v="30"/>
    <x v="1"/>
    <s v="Travel_Rarely"/>
    <n v="1465"/>
    <x v="1"/>
    <n v="1"/>
    <n v="3"/>
    <s v="Medical"/>
    <n v="1241"/>
    <n v="4"/>
    <s v="Male"/>
    <n v="63"/>
    <n v="3"/>
    <n v="1"/>
    <x v="1"/>
    <n v="2"/>
    <s v="Married"/>
    <n v="3579"/>
    <n v="9369"/>
    <n v="0"/>
    <s v="Yes"/>
    <n v="21"/>
    <n v="4"/>
    <n v="1"/>
    <n v="1"/>
    <n v="12"/>
    <n v="2"/>
    <n v="3"/>
    <n v="11"/>
    <n v="9"/>
    <n v="5"/>
    <n v="7"/>
    <x v="1"/>
    <n v="32211"/>
    <x v="0"/>
    <n v="0"/>
  </r>
  <r>
    <n v="42"/>
    <x v="1"/>
    <s v="Travel_Frequently"/>
    <n v="458"/>
    <x v="1"/>
    <n v="26"/>
    <n v="5"/>
    <s v="Medical"/>
    <n v="1242"/>
    <n v="1"/>
    <s v="Female"/>
    <n v="60"/>
    <n v="3"/>
    <n v="3"/>
    <x v="7"/>
    <n v="1"/>
    <s v="Married"/>
    <n v="13191"/>
    <n v="23281"/>
    <n v="3"/>
    <s v="Yes"/>
    <n v="17"/>
    <n v="3"/>
    <n v="3"/>
    <n v="0"/>
    <n v="20"/>
    <n v="6"/>
    <n v="3"/>
    <n v="1"/>
    <n v="0"/>
    <n v="0"/>
    <n v="0"/>
    <x v="3"/>
    <n v="118719"/>
    <x v="2"/>
    <n v="0"/>
  </r>
  <r>
    <n v="35"/>
    <x v="1"/>
    <s v="Non-Travel"/>
    <n v="1212"/>
    <x v="0"/>
    <n v="8"/>
    <n v="2"/>
    <s v="Marketing"/>
    <n v="1243"/>
    <n v="3"/>
    <s v="Female"/>
    <n v="78"/>
    <n v="2"/>
    <n v="3"/>
    <x v="0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  <x v="1"/>
    <n v="93393"/>
    <x v="0"/>
    <n v="0"/>
  </r>
  <r>
    <n v="27"/>
    <x v="1"/>
    <s v="Travel_Rarely"/>
    <n v="1103"/>
    <x v="1"/>
    <n v="14"/>
    <n v="3"/>
    <s v="Life Sciences"/>
    <n v="1244"/>
    <n v="1"/>
    <s v="Male"/>
    <n v="42"/>
    <n v="3"/>
    <n v="1"/>
    <x v="1"/>
    <n v="1"/>
    <s v="Married"/>
    <n v="2235"/>
    <n v="14377"/>
    <n v="1"/>
    <s v="Yes"/>
    <n v="14"/>
    <n v="3"/>
    <n v="4"/>
    <n v="2"/>
    <n v="9"/>
    <n v="3"/>
    <n v="2"/>
    <n v="9"/>
    <n v="7"/>
    <n v="6"/>
    <n v="8"/>
    <x v="1"/>
    <n v="20115"/>
    <x v="0"/>
    <n v="0"/>
  </r>
  <r>
    <n v="54"/>
    <x v="1"/>
    <s v="Travel_Frequently"/>
    <n v="966"/>
    <x v="1"/>
    <n v="1"/>
    <n v="4"/>
    <s v="Life Sciences"/>
    <n v="1245"/>
    <n v="4"/>
    <s v="Female"/>
    <n v="53"/>
    <n v="3"/>
    <n v="3"/>
    <x v="3"/>
    <n v="3"/>
    <s v="Divorced"/>
    <n v="10502"/>
    <n v="9659"/>
    <n v="7"/>
    <s v="No"/>
    <n v="17"/>
    <n v="3"/>
    <n v="1"/>
    <n v="1"/>
    <n v="33"/>
    <n v="2"/>
    <n v="1"/>
    <n v="5"/>
    <n v="4"/>
    <n v="1"/>
    <n v="4"/>
    <x v="0"/>
    <n v="94518"/>
    <x v="1"/>
    <n v="0"/>
  </r>
  <r>
    <n v="44"/>
    <x v="1"/>
    <s v="Travel_Rarely"/>
    <n v="1117"/>
    <x v="1"/>
    <n v="2"/>
    <n v="1"/>
    <s v="Life Sciences"/>
    <n v="1246"/>
    <n v="1"/>
    <s v="Female"/>
    <n v="72"/>
    <n v="4"/>
    <n v="1"/>
    <x v="1"/>
    <n v="4"/>
    <s v="Married"/>
    <n v="2011"/>
    <n v="19982"/>
    <n v="1"/>
    <s v="No"/>
    <n v="13"/>
    <n v="3"/>
    <n v="4"/>
    <n v="1"/>
    <n v="10"/>
    <n v="5"/>
    <n v="3"/>
    <n v="10"/>
    <n v="5"/>
    <n v="7"/>
    <n v="7"/>
    <x v="1"/>
    <n v="18099"/>
    <x v="1"/>
    <n v="0"/>
  </r>
  <r>
    <n v="19"/>
    <x v="0"/>
    <s v="Non-Travel"/>
    <n v="504"/>
    <x v="1"/>
    <n v="10"/>
    <n v="3"/>
    <s v="Medical"/>
    <n v="1248"/>
    <n v="1"/>
    <s v="Female"/>
    <n v="96"/>
    <n v="2"/>
    <n v="1"/>
    <x v="1"/>
    <n v="2"/>
    <s v="Single"/>
    <n v="1859"/>
    <n v="6148"/>
    <n v="1"/>
    <s v="Yes"/>
    <n v="25"/>
    <n v="4"/>
    <n v="2"/>
    <n v="0"/>
    <n v="1"/>
    <n v="2"/>
    <n v="4"/>
    <n v="1"/>
    <n v="1"/>
    <n v="0"/>
    <n v="0"/>
    <x v="3"/>
    <n v="16731"/>
    <x v="2"/>
    <n v="16731"/>
  </r>
  <r>
    <n v="29"/>
    <x v="1"/>
    <s v="Travel_Rarely"/>
    <n v="1010"/>
    <x v="1"/>
    <n v="1"/>
    <n v="3"/>
    <s v="Life Sciences"/>
    <n v="1249"/>
    <n v="1"/>
    <s v="Female"/>
    <n v="97"/>
    <n v="3"/>
    <n v="1"/>
    <x v="1"/>
    <n v="4"/>
    <s v="Divorced"/>
    <n v="3760"/>
    <n v="5598"/>
    <n v="1"/>
    <s v="No"/>
    <n v="15"/>
    <n v="3"/>
    <n v="1"/>
    <n v="3"/>
    <n v="3"/>
    <n v="5"/>
    <n v="3"/>
    <n v="3"/>
    <n v="2"/>
    <n v="1"/>
    <n v="2"/>
    <x v="3"/>
    <n v="33840"/>
    <x v="1"/>
    <n v="0"/>
  </r>
  <r>
    <n v="54"/>
    <x v="1"/>
    <s v="Travel_Rarely"/>
    <n v="685"/>
    <x v="1"/>
    <n v="3"/>
    <n v="3"/>
    <s v="Life Sciences"/>
    <n v="1250"/>
    <n v="4"/>
    <s v="Male"/>
    <n v="85"/>
    <n v="3"/>
    <n v="4"/>
    <x v="7"/>
    <n v="4"/>
    <s v="Married"/>
    <n v="17779"/>
    <n v="23474"/>
    <n v="3"/>
    <s v="No"/>
    <n v="14"/>
    <n v="3"/>
    <n v="1"/>
    <n v="0"/>
    <n v="36"/>
    <n v="2"/>
    <n v="3"/>
    <n v="10"/>
    <n v="9"/>
    <n v="0"/>
    <n v="9"/>
    <x v="1"/>
    <n v="160011"/>
    <x v="1"/>
    <n v="0"/>
  </r>
  <r>
    <n v="31"/>
    <x v="1"/>
    <s v="Travel_Rarely"/>
    <n v="1332"/>
    <x v="1"/>
    <n v="11"/>
    <n v="2"/>
    <s v="Medical"/>
    <n v="1251"/>
    <n v="3"/>
    <s v="Male"/>
    <n v="80"/>
    <n v="3"/>
    <n v="2"/>
    <x v="4"/>
    <n v="1"/>
    <s v="Married"/>
    <n v="6833"/>
    <n v="17089"/>
    <n v="1"/>
    <s v="Yes"/>
    <n v="12"/>
    <n v="3"/>
    <n v="4"/>
    <n v="0"/>
    <n v="6"/>
    <n v="2"/>
    <n v="2"/>
    <n v="6"/>
    <n v="5"/>
    <n v="0"/>
    <n v="1"/>
    <x v="0"/>
    <n v="61497"/>
    <x v="0"/>
    <n v="0"/>
  </r>
  <r>
    <n v="31"/>
    <x v="1"/>
    <s v="Travel_Rarely"/>
    <n v="1062"/>
    <x v="1"/>
    <n v="24"/>
    <n v="3"/>
    <s v="Medical"/>
    <n v="1252"/>
    <n v="3"/>
    <s v="Female"/>
    <n v="96"/>
    <n v="2"/>
    <n v="2"/>
    <x v="4"/>
    <n v="1"/>
    <s v="Single"/>
    <n v="6812"/>
    <n v="17198"/>
    <n v="1"/>
    <s v="No"/>
    <n v="19"/>
    <n v="3"/>
    <n v="2"/>
    <n v="0"/>
    <n v="10"/>
    <n v="2"/>
    <n v="3"/>
    <n v="10"/>
    <n v="9"/>
    <n v="1"/>
    <n v="8"/>
    <x v="1"/>
    <n v="61308"/>
    <x v="0"/>
    <n v="0"/>
  </r>
  <r>
    <n v="59"/>
    <x v="1"/>
    <s v="Travel_Rarely"/>
    <n v="326"/>
    <x v="0"/>
    <n v="3"/>
    <n v="3"/>
    <s v="Life Sciences"/>
    <n v="1254"/>
    <n v="3"/>
    <s v="Female"/>
    <n v="48"/>
    <n v="2"/>
    <n v="2"/>
    <x v="0"/>
    <n v="4"/>
    <s v="Single"/>
    <n v="5171"/>
    <n v="16490"/>
    <n v="5"/>
    <s v="No"/>
    <n v="17"/>
    <n v="3"/>
    <n v="4"/>
    <n v="0"/>
    <n v="13"/>
    <n v="2"/>
    <n v="3"/>
    <n v="6"/>
    <n v="1"/>
    <n v="0"/>
    <n v="5"/>
    <x v="0"/>
    <n v="46539"/>
    <x v="1"/>
    <n v="0"/>
  </r>
  <r>
    <n v="43"/>
    <x v="1"/>
    <s v="Travel_Rarely"/>
    <n v="920"/>
    <x v="1"/>
    <n v="3"/>
    <n v="3"/>
    <s v="Life Sciences"/>
    <n v="1255"/>
    <n v="3"/>
    <s v="Male"/>
    <n v="96"/>
    <n v="1"/>
    <n v="5"/>
    <x v="7"/>
    <n v="4"/>
    <s v="Married"/>
    <n v="19740"/>
    <n v="18625"/>
    <n v="3"/>
    <s v="No"/>
    <n v="14"/>
    <n v="3"/>
    <n v="2"/>
    <n v="1"/>
    <n v="25"/>
    <n v="2"/>
    <n v="3"/>
    <n v="8"/>
    <n v="7"/>
    <n v="0"/>
    <n v="7"/>
    <x v="1"/>
    <n v="177660"/>
    <x v="1"/>
    <n v="0"/>
  </r>
  <r>
    <n v="49"/>
    <x v="1"/>
    <s v="Travel_Rarely"/>
    <n v="1098"/>
    <x v="1"/>
    <n v="4"/>
    <n v="2"/>
    <s v="Medical"/>
    <n v="1256"/>
    <n v="1"/>
    <s v="Male"/>
    <n v="85"/>
    <n v="2"/>
    <n v="5"/>
    <x v="5"/>
    <n v="3"/>
    <s v="Married"/>
    <n v="18711"/>
    <n v="12124"/>
    <n v="2"/>
    <s v="No"/>
    <n v="13"/>
    <n v="3"/>
    <n v="3"/>
    <n v="1"/>
    <n v="23"/>
    <n v="2"/>
    <n v="4"/>
    <n v="1"/>
    <n v="0"/>
    <n v="0"/>
    <n v="0"/>
    <x v="3"/>
    <n v="168399"/>
    <x v="1"/>
    <n v="0"/>
  </r>
  <r>
    <n v="36"/>
    <x v="1"/>
    <s v="Travel_Frequently"/>
    <n v="469"/>
    <x v="1"/>
    <n v="3"/>
    <n v="3"/>
    <s v="Technical Degree"/>
    <n v="1257"/>
    <n v="3"/>
    <s v="Male"/>
    <n v="46"/>
    <n v="3"/>
    <n v="1"/>
    <x v="1"/>
    <n v="2"/>
    <s v="Married"/>
    <n v="3692"/>
    <n v="9256"/>
    <n v="1"/>
    <s v="No"/>
    <n v="12"/>
    <n v="3"/>
    <n v="3"/>
    <n v="0"/>
    <n v="12"/>
    <n v="2"/>
    <n v="2"/>
    <n v="11"/>
    <n v="10"/>
    <n v="0"/>
    <n v="7"/>
    <x v="1"/>
    <n v="33228"/>
    <x v="0"/>
    <n v="0"/>
  </r>
  <r>
    <n v="48"/>
    <x v="1"/>
    <s v="Travel_Rarely"/>
    <n v="969"/>
    <x v="1"/>
    <n v="2"/>
    <n v="2"/>
    <s v="Technical Degree"/>
    <n v="1258"/>
    <n v="4"/>
    <s v="Male"/>
    <n v="76"/>
    <n v="4"/>
    <n v="1"/>
    <x v="2"/>
    <n v="2"/>
    <s v="Single"/>
    <n v="2559"/>
    <n v="16620"/>
    <n v="5"/>
    <s v="No"/>
    <n v="11"/>
    <n v="3"/>
    <n v="3"/>
    <n v="0"/>
    <n v="7"/>
    <n v="4"/>
    <n v="2"/>
    <n v="1"/>
    <n v="0"/>
    <n v="0"/>
    <n v="0"/>
    <x v="3"/>
    <n v="23031"/>
    <x v="0"/>
    <n v="0"/>
  </r>
  <r>
    <n v="27"/>
    <x v="1"/>
    <s v="Travel_Rarely"/>
    <n v="1167"/>
    <x v="1"/>
    <n v="4"/>
    <n v="2"/>
    <s v="Life Sciences"/>
    <n v="1259"/>
    <n v="1"/>
    <s v="Male"/>
    <n v="76"/>
    <n v="3"/>
    <n v="1"/>
    <x v="1"/>
    <n v="3"/>
    <s v="Divorced"/>
    <n v="2517"/>
    <n v="3208"/>
    <n v="1"/>
    <s v="No"/>
    <n v="11"/>
    <n v="3"/>
    <n v="2"/>
    <n v="3"/>
    <n v="5"/>
    <n v="2"/>
    <n v="3"/>
    <n v="5"/>
    <n v="3"/>
    <n v="0"/>
    <n v="3"/>
    <x v="0"/>
    <n v="22653"/>
    <x v="1"/>
    <n v="0"/>
  </r>
  <r>
    <n v="29"/>
    <x v="1"/>
    <s v="Travel_Rarely"/>
    <n v="1329"/>
    <x v="1"/>
    <n v="7"/>
    <n v="3"/>
    <s v="Life Sciences"/>
    <n v="1260"/>
    <n v="3"/>
    <s v="Male"/>
    <n v="82"/>
    <n v="3"/>
    <n v="2"/>
    <x v="4"/>
    <n v="4"/>
    <s v="Divorced"/>
    <n v="6623"/>
    <n v="4204"/>
    <n v="1"/>
    <s v="Yes"/>
    <n v="11"/>
    <n v="3"/>
    <n v="2"/>
    <n v="2"/>
    <n v="6"/>
    <n v="2"/>
    <n v="3"/>
    <n v="6"/>
    <n v="0"/>
    <n v="1"/>
    <n v="0"/>
    <x v="0"/>
    <n v="59607"/>
    <x v="0"/>
    <n v="0"/>
  </r>
  <r>
    <n v="48"/>
    <x v="1"/>
    <s v="Travel_Rarely"/>
    <n v="715"/>
    <x v="1"/>
    <n v="1"/>
    <n v="3"/>
    <s v="Life Sciences"/>
    <n v="1263"/>
    <n v="4"/>
    <s v="Male"/>
    <n v="76"/>
    <n v="2"/>
    <n v="5"/>
    <x v="7"/>
    <n v="4"/>
    <s v="Single"/>
    <n v="18265"/>
    <n v="8733"/>
    <n v="6"/>
    <s v="No"/>
    <n v="12"/>
    <n v="3"/>
    <n v="3"/>
    <n v="0"/>
    <n v="25"/>
    <n v="3"/>
    <n v="4"/>
    <n v="1"/>
    <n v="0"/>
    <n v="0"/>
    <n v="0"/>
    <x v="3"/>
    <n v="164385"/>
    <x v="1"/>
    <n v="0"/>
  </r>
  <r>
    <n v="29"/>
    <x v="1"/>
    <s v="Travel_Rarely"/>
    <n v="694"/>
    <x v="1"/>
    <n v="1"/>
    <n v="3"/>
    <s v="Life Sciences"/>
    <n v="1264"/>
    <n v="4"/>
    <s v="Female"/>
    <n v="87"/>
    <n v="2"/>
    <n v="4"/>
    <x v="7"/>
    <n v="4"/>
    <s v="Divorced"/>
    <n v="16124"/>
    <n v="3423"/>
    <n v="3"/>
    <s v="No"/>
    <n v="14"/>
    <n v="3"/>
    <n v="2"/>
    <n v="2"/>
    <n v="9"/>
    <n v="2"/>
    <n v="2"/>
    <n v="7"/>
    <n v="7"/>
    <n v="1"/>
    <n v="7"/>
    <x v="1"/>
    <n v="145116"/>
    <x v="1"/>
    <n v="0"/>
  </r>
  <r>
    <n v="34"/>
    <x v="1"/>
    <s v="Travel_Rarely"/>
    <n v="1320"/>
    <x v="1"/>
    <n v="20"/>
    <n v="3"/>
    <s v="Technical Degree"/>
    <n v="1265"/>
    <n v="3"/>
    <s v="Female"/>
    <n v="89"/>
    <n v="4"/>
    <n v="1"/>
    <x v="1"/>
    <n v="3"/>
    <s v="Married"/>
    <n v="2585"/>
    <n v="21643"/>
    <n v="0"/>
    <s v="No"/>
    <n v="17"/>
    <n v="3"/>
    <n v="4"/>
    <n v="0"/>
    <n v="2"/>
    <n v="5"/>
    <n v="2"/>
    <n v="1"/>
    <n v="0"/>
    <n v="0"/>
    <n v="0"/>
    <x v="3"/>
    <n v="23265"/>
    <x v="1"/>
    <n v="0"/>
  </r>
  <r>
    <n v="44"/>
    <x v="1"/>
    <s v="Travel_Rarely"/>
    <n v="1099"/>
    <x v="0"/>
    <n v="5"/>
    <n v="3"/>
    <s v="Marketing"/>
    <n v="1267"/>
    <n v="2"/>
    <s v="Male"/>
    <n v="88"/>
    <n v="3"/>
    <n v="5"/>
    <x v="5"/>
    <n v="2"/>
    <s v="Married"/>
    <n v="18213"/>
    <n v="8751"/>
    <n v="7"/>
    <s v="No"/>
    <n v="11"/>
    <n v="3"/>
    <n v="3"/>
    <n v="1"/>
    <n v="26"/>
    <n v="5"/>
    <n v="3"/>
    <n v="22"/>
    <n v="9"/>
    <n v="3"/>
    <n v="10"/>
    <x v="1"/>
    <n v="163917"/>
    <x v="0"/>
    <n v="0"/>
  </r>
  <r>
    <n v="33"/>
    <x v="1"/>
    <s v="Travel_Rarely"/>
    <n v="536"/>
    <x v="0"/>
    <n v="10"/>
    <n v="5"/>
    <s v="Marketing"/>
    <n v="1268"/>
    <n v="4"/>
    <s v="Male"/>
    <n v="82"/>
    <n v="4"/>
    <n v="3"/>
    <x v="0"/>
    <n v="3"/>
    <s v="Divorced"/>
    <n v="8380"/>
    <n v="21708"/>
    <n v="0"/>
    <s v="Yes"/>
    <n v="14"/>
    <n v="3"/>
    <n v="4"/>
    <n v="2"/>
    <n v="10"/>
    <n v="3"/>
    <n v="3"/>
    <n v="9"/>
    <n v="8"/>
    <n v="0"/>
    <n v="8"/>
    <x v="1"/>
    <n v="75420"/>
    <x v="0"/>
    <n v="0"/>
  </r>
  <r>
    <n v="19"/>
    <x v="1"/>
    <s v="Travel_Rarely"/>
    <n v="265"/>
    <x v="1"/>
    <n v="25"/>
    <n v="3"/>
    <s v="Life Sciences"/>
    <n v="1269"/>
    <n v="2"/>
    <s v="Female"/>
    <n v="57"/>
    <n v="4"/>
    <n v="1"/>
    <x v="1"/>
    <n v="4"/>
    <s v="Single"/>
    <n v="2994"/>
    <n v="21221"/>
    <n v="1"/>
    <s v="Yes"/>
    <n v="12"/>
    <n v="3"/>
    <n v="4"/>
    <n v="0"/>
    <n v="1"/>
    <n v="2"/>
    <n v="3"/>
    <n v="1"/>
    <n v="0"/>
    <n v="0"/>
    <n v="1"/>
    <x v="3"/>
    <n v="26946"/>
    <x v="0"/>
    <n v="0"/>
  </r>
  <r>
    <n v="23"/>
    <x v="1"/>
    <s v="Travel_Rarely"/>
    <n v="373"/>
    <x v="1"/>
    <n v="1"/>
    <n v="2"/>
    <s v="Life Sciences"/>
    <n v="1270"/>
    <n v="4"/>
    <s v="Male"/>
    <n v="47"/>
    <n v="3"/>
    <n v="1"/>
    <x v="1"/>
    <n v="3"/>
    <s v="Married"/>
    <n v="1223"/>
    <n v="16901"/>
    <n v="1"/>
    <s v="No"/>
    <n v="22"/>
    <n v="4"/>
    <n v="4"/>
    <n v="1"/>
    <n v="1"/>
    <n v="2"/>
    <n v="3"/>
    <n v="1"/>
    <n v="0"/>
    <n v="0"/>
    <n v="1"/>
    <x v="3"/>
    <n v="11007"/>
    <x v="1"/>
    <n v="0"/>
  </r>
  <r>
    <n v="25"/>
    <x v="0"/>
    <s v="Travel_Frequently"/>
    <n v="599"/>
    <x v="0"/>
    <n v="24"/>
    <n v="1"/>
    <s v="Life Sciences"/>
    <n v="1273"/>
    <n v="3"/>
    <s v="Male"/>
    <n v="73"/>
    <n v="1"/>
    <n v="1"/>
    <x v="6"/>
    <n v="4"/>
    <s v="Single"/>
    <n v="1118"/>
    <n v="8040"/>
    <n v="1"/>
    <s v="Yes"/>
    <n v="14"/>
    <n v="3"/>
    <n v="4"/>
    <n v="0"/>
    <n v="1"/>
    <n v="4"/>
    <n v="3"/>
    <n v="1"/>
    <n v="0"/>
    <n v="1"/>
    <n v="0"/>
    <x v="3"/>
    <n v="10062"/>
    <x v="0"/>
    <n v="10062"/>
  </r>
  <r>
    <n v="26"/>
    <x v="1"/>
    <s v="Travel_Rarely"/>
    <n v="583"/>
    <x v="1"/>
    <n v="4"/>
    <n v="2"/>
    <s v="Life Sciences"/>
    <n v="1275"/>
    <n v="3"/>
    <s v="Male"/>
    <n v="53"/>
    <n v="3"/>
    <n v="1"/>
    <x v="1"/>
    <n v="4"/>
    <s v="Single"/>
    <n v="2875"/>
    <n v="9973"/>
    <n v="1"/>
    <s v="Yes"/>
    <n v="20"/>
    <n v="4"/>
    <n v="2"/>
    <n v="0"/>
    <n v="8"/>
    <n v="2"/>
    <n v="2"/>
    <n v="8"/>
    <n v="5"/>
    <n v="2"/>
    <n v="2"/>
    <x v="1"/>
    <n v="25875"/>
    <x v="0"/>
    <n v="0"/>
  </r>
  <r>
    <n v="45"/>
    <x v="0"/>
    <s v="Travel_Rarely"/>
    <n v="1449"/>
    <x v="0"/>
    <n v="2"/>
    <n v="3"/>
    <s v="Marketing"/>
    <n v="1277"/>
    <n v="1"/>
    <s v="Female"/>
    <n v="94"/>
    <n v="1"/>
    <n v="5"/>
    <x v="5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  <x v="1"/>
    <n v="169416"/>
    <x v="0"/>
    <n v="169416"/>
  </r>
  <r>
    <n v="55"/>
    <x v="1"/>
    <s v="Non-Travel"/>
    <n v="177"/>
    <x v="1"/>
    <n v="8"/>
    <n v="1"/>
    <s v="Medical"/>
    <n v="1278"/>
    <n v="4"/>
    <s v="Male"/>
    <n v="37"/>
    <n v="2"/>
    <n v="4"/>
    <x v="4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  <x v="1"/>
    <n v="122193"/>
    <x v="0"/>
    <n v="0"/>
  </r>
  <r>
    <n v="21"/>
    <x v="0"/>
    <s v="Travel_Frequently"/>
    <n v="251"/>
    <x v="1"/>
    <n v="10"/>
    <n v="2"/>
    <s v="Life Sciences"/>
    <n v="1279"/>
    <n v="1"/>
    <s v="Female"/>
    <n v="45"/>
    <n v="2"/>
    <n v="1"/>
    <x v="2"/>
    <n v="3"/>
    <s v="Single"/>
    <n v="2625"/>
    <n v="25308"/>
    <n v="1"/>
    <s v="No"/>
    <n v="20"/>
    <n v="4"/>
    <n v="3"/>
    <n v="0"/>
    <n v="2"/>
    <n v="2"/>
    <n v="1"/>
    <n v="2"/>
    <n v="2"/>
    <n v="2"/>
    <n v="2"/>
    <x v="3"/>
    <n v="23625"/>
    <x v="1"/>
    <n v="23625"/>
  </r>
  <r>
    <n v="46"/>
    <x v="1"/>
    <s v="Travel_Rarely"/>
    <n v="168"/>
    <x v="0"/>
    <n v="4"/>
    <n v="2"/>
    <s v="Marketing"/>
    <n v="1280"/>
    <n v="4"/>
    <s v="Female"/>
    <n v="33"/>
    <n v="2"/>
    <n v="5"/>
    <x v="5"/>
    <n v="2"/>
    <s v="Married"/>
    <n v="18789"/>
    <n v="9946"/>
    <n v="2"/>
    <s v="No"/>
    <n v="14"/>
    <n v="3"/>
    <n v="3"/>
    <n v="1"/>
    <n v="26"/>
    <n v="2"/>
    <n v="3"/>
    <n v="11"/>
    <n v="4"/>
    <n v="0"/>
    <n v="8"/>
    <x v="1"/>
    <n v="169101"/>
    <x v="0"/>
    <n v="0"/>
  </r>
  <r>
    <n v="34"/>
    <x v="1"/>
    <s v="Travel_Rarely"/>
    <n v="131"/>
    <x v="0"/>
    <n v="2"/>
    <n v="3"/>
    <s v="Marketing"/>
    <n v="1281"/>
    <n v="3"/>
    <s v="Female"/>
    <n v="86"/>
    <n v="3"/>
    <n v="2"/>
    <x v="0"/>
    <n v="1"/>
    <s v="Single"/>
    <n v="4538"/>
    <n v="6039"/>
    <n v="0"/>
    <s v="Yes"/>
    <n v="12"/>
    <n v="3"/>
    <n v="4"/>
    <n v="0"/>
    <n v="4"/>
    <n v="3"/>
    <n v="3"/>
    <n v="3"/>
    <n v="2"/>
    <n v="0"/>
    <n v="2"/>
    <x v="3"/>
    <n v="40842"/>
    <x v="2"/>
    <n v="0"/>
  </r>
  <r>
    <n v="51"/>
    <x v="1"/>
    <s v="Travel_Frequently"/>
    <n v="237"/>
    <x v="0"/>
    <n v="9"/>
    <n v="3"/>
    <s v="Life Sciences"/>
    <n v="1282"/>
    <n v="4"/>
    <s v="Male"/>
    <n v="83"/>
    <n v="3"/>
    <n v="5"/>
    <x v="5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  <x v="1"/>
    <n v="178623"/>
    <x v="0"/>
    <n v="0"/>
  </r>
  <r>
    <n v="59"/>
    <x v="1"/>
    <s v="Travel_Rarely"/>
    <n v="1429"/>
    <x v="1"/>
    <n v="18"/>
    <n v="4"/>
    <s v="Medical"/>
    <n v="1283"/>
    <n v="4"/>
    <s v="Male"/>
    <n v="67"/>
    <n v="3"/>
    <n v="3"/>
    <x v="3"/>
    <n v="4"/>
    <s v="Single"/>
    <n v="10512"/>
    <n v="20002"/>
    <n v="6"/>
    <s v="No"/>
    <n v="12"/>
    <n v="3"/>
    <n v="4"/>
    <n v="0"/>
    <n v="25"/>
    <n v="6"/>
    <n v="2"/>
    <n v="9"/>
    <n v="7"/>
    <n v="5"/>
    <n v="4"/>
    <x v="1"/>
    <n v="94608"/>
    <x v="1"/>
    <n v="0"/>
  </r>
  <r>
    <n v="34"/>
    <x v="1"/>
    <s v="Travel_Frequently"/>
    <n v="135"/>
    <x v="1"/>
    <n v="19"/>
    <n v="3"/>
    <s v="Medical"/>
    <n v="1285"/>
    <n v="3"/>
    <s v="Female"/>
    <n v="46"/>
    <n v="3"/>
    <n v="2"/>
    <x v="2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  <x v="1"/>
    <n v="39996"/>
    <x v="0"/>
    <n v="0"/>
  </r>
  <r>
    <n v="28"/>
    <x v="1"/>
    <s v="Travel_Frequently"/>
    <n v="791"/>
    <x v="1"/>
    <n v="1"/>
    <n v="4"/>
    <s v="Medical"/>
    <n v="1286"/>
    <n v="4"/>
    <s v="Male"/>
    <n v="44"/>
    <n v="3"/>
    <n v="1"/>
    <x v="2"/>
    <n v="3"/>
    <s v="Single"/>
    <n v="2154"/>
    <n v="6842"/>
    <n v="0"/>
    <s v="Yes"/>
    <n v="11"/>
    <n v="3"/>
    <n v="3"/>
    <n v="0"/>
    <n v="5"/>
    <n v="2"/>
    <n v="2"/>
    <n v="4"/>
    <n v="2"/>
    <n v="0"/>
    <n v="2"/>
    <x v="0"/>
    <n v="19386"/>
    <x v="0"/>
    <n v="0"/>
  </r>
  <r>
    <n v="44"/>
    <x v="1"/>
    <s v="Travel_Rarely"/>
    <n v="1199"/>
    <x v="1"/>
    <n v="4"/>
    <n v="2"/>
    <s v="Life Sciences"/>
    <n v="1288"/>
    <n v="3"/>
    <s v="Male"/>
    <n v="92"/>
    <n v="4"/>
    <n v="5"/>
    <x v="5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  <x v="1"/>
    <n v="172710"/>
    <x v="0"/>
    <n v="0"/>
  </r>
  <r>
    <n v="34"/>
    <x v="1"/>
    <s v="Travel_Frequently"/>
    <n v="648"/>
    <x v="2"/>
    <n v="11"/>
    <n v="3"/>
    <s v="Life Sciences"/>
    <n v="1289"/>
    <n v="3"/>
    <s v="Male"/>
    <n v="56"/>
    <n v="2"/>
    <n v="2"/>
    <x v="8"/>
    <n v="2"/>
    <s v="Married"/>
    <n v="4490"/>
    <n v="21833"/>
    <n v="4"/>
    <s v="No"/>
    <n v="11"/>
    <n v="3"/>
    <n v="4"/>
    <n v="2"/>
    <n v="14"/>
    <n v="5"/>
    <n v="4"/>
    <n v="10"/>
    <n v="9"/>
    <n v="1"/>
    <n v="8"/>
    <x v="1"/>
    <n v="40410"/>
    <x v="0"/>
    <n v="0"/>
  </r>
  <r>
    <n v="35"/>
    <x v="1"/>
    <s v="Travel_Rarely"/>
    <n v="735"/>
    <x v="1"/>
    <n v="6"/>
    <n v="1"/>
    <s v="Life Sciences"/>
    <n v="1291"/>
    <n v="3"/>
    <s v="Male"/>
    <n v="66"/>
    <n v="3"/>
    <n v="1"/>
    <x v="1"/>
    <n v="3"/>
    <s v="Married"/>
    <n v="3506"/>
    <n v="6020"/>
    <n v="0"/>
    <s v="Yes"/>
    <n v="14"/>
    <n v="3"/>
    <n v="4"/>
    <n v="0"/>
    <n v="4"/>
    <n v="3"/>
    <n v="3"/>
    <n v="3"/>
    <n v="2"/>
    <n v="2"/>
    <n v="2"/>
    <x v="3"/>
    <n v="31554"/>
    <x v="0"/>
    <n v="0"/>
  </r>
  <r>
    <n v="42"/>
    <x v="1"/>
    <s v="Travel_Rarely"/>
    <n v="603"/>
    <x v="1"/>
    <n v="7"/>
    <n v="4"/>
    <s v="Medical"/>
    <n v="1292"/>
    <n v="2"/>
    <s v="Female"/>
    <n v="78"/>
    <n v="4"/>
    <n v="2"/>
    <x v="1"/>
    <n v="2"/>
    <s v="Married"/>
    <n v="2372"/>
    <n v="5628"/>
    <n v="6"/>
    <s v="Yes"/>
    <n v="16"/>
    <n v="3"/>
    <n v="4"/>
    <n v="0"/>
    <n v="18"/>
    <n v="2"/>
    <n v="3"/>
    <n v="1"/>
    <n v="0"/>
    <n v="0"/>
    <n v="0"/>
    <x v="3"/>
    <n v="21348"/>
    <x v="2"/>
    <n v="0"/>
  </r>
  <r>
    <n v="43"/>
    <x v="1"/>
    <s v="Travel_Rarely"/>
    <n v="531"/>
    <x v="0"/>
    <n v="4"/>
    <n v="4"/>
    <s v="Marketing"/>
    <n v="1293"/>
    <n v="4"/>
    <s v="Female"/>
    <n v="56"/>
    <n v="2"/>
    <n v="3"/>
    <x v="0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  <x v="1"/>
    <n v="92079"/>
    <x v="1"/>
    <n v="0"/>
  </r>
  <r>
    <n v="36"/>
    <x v="1"/>
    <s v="Travel_Rarely"/>
    <n v="429"/>
    <x v="1"/>
    <n v="2"/>
    <n v="4"/>
    <s v="Life Sciences"/>
    <n v="1294"/>
    <n v="3"/>
    <s v="Female"/>
    <n v="53"/>
    <n v="3"/>
    <n v="2"/>
    <x v="3"/>
    <n v="2"/>
    <s v="Single"/>
    <n v="5410"/>
    <n v="2323"/>
    <n v="9"/>
    <s v="Yes"/>
    <n v="11"/>
    <n v="3"/>
    <n v="4"/>
    <n v="0"/>
    <n v="18"/>
    <n v="2"/>
    <n v="3"/>
    <n v="16"/>
    <n v="14"/>
    <n v="5"/>
    <n v="12"/>
    <x v="1"/>
    <n v="48690"/>
    <x v="0"/>
    <n v="0"/>
  </r>
  <r>
    <n v="44"/>
    <x v="0"/>
    <s v="Travel_Rarely"/>
    <n v="621"/>
    <x v="1"/>
    <n v="15"/>
    <n v="3"/>
    <s v="Medical"/>
    <n v="1295"/>
    <n v="1"/>
    <s v="Female"/>
    <n v="73"/>
    <n v="3"/>
    <n v="3"/>
    <x v="4"/>
    <n v="4"/>
    <s v="Married"/>
    <n v="7978"/>
    <n v="14075"/>
    <n v="1"/>
    <s v="No"/>
    <n v="11"/>
    <n v="3"/>
    <n v="4"/>
    <n v="1"/>
    <n v="10"/>
    <n v="2"/>
    <n v="3"/>
    <n v="10"/>
    <n v="7"/>
    <n v="0"/>
    <n v="5"/>
    <x v="1"/>
    <n v="71802"/>
    <x v="1"/>
    <n v="71802"/>
  </r>
  <r>
    <n v="28"/>
    <x v="1"/>
    <s v="Travel_Frequently"/>
    <n v="193"/>
    <x v="1"/>
    <n v="2"/>
    <n v="3"/>
    <s v="Life Sciences"/>
    <n v="1296"/>
    <n v="4"/>
    <s v="Male"/>
    <n v="52"/>
    <n v="2"/>
    <n v="1"/>
    <x v="2"/>
    <n v="4"/>
    <s v="Married"/>
    <n v="3867"/>
    <n v="14222"/>
    <n v="1"/>
    <s v="Yes"/>
    <n v="12"/>
    <n v="3"/>
    <n v="2"/>
    <n v="1"/>
    <n v="2"/>
    <n v="2"/>
    <n v="3"/>
    <n v="2"/>
    <n v="2"/>
    <n v="2"/>
    <n v="2"/>
    <x v="3"/>
    <n v="34803"/>
    <x v="0"/>
    <n v="0"/>
  </r>
  <r>
    <n v="51"/>
    <x v="1"/>
    <s v="Travel_Frequently"/>
    <n v="968"/>
    <x v="1"/>
    <n v="6"/>
    <n v="2"/>
    <s v="Medical"/>
    <n v="1297"/>
    <n v="2"/>
    <s v="Female"/>
    <n v="40"/>
    <n v="2"/>
    <n v="1"/>
    <x v="2"/>
    <n v="3"/>
    <s v="Single"/>
    <n v="2838"/>
    <n v="4257"/>
    <n v="0"/>
    <s v="No"/>
    <n v="14"/>
    <n v="3"/>
    <n v="2"/>
    <n v="0"/>
    <n v="8"/>
    <n v="6"/>
    <n v="2"/>
    <n v="7"/>
    <n v="0"/>
    <n v="7"/>
    <n v="7"/>
    <x v="1"/>
    <n v="25542"/>
    <x v="1"/>
    <n v="0"/>
  </r>
  <r>
    <n v="30"/>
    <x v="1"/>
    <s v="Non-Travel"/>
    <n v="879"/>
    <x v="1"/>
    <n v="9"/>
    <n v="2"/>
    <s v="Medical"/>
    <n v="1298"/>
    <n v="3"/>
    <s v="Female"/>
    <n v="72"/>
    <n v="3"/>
    <n v="2"/>
    <x v="3"/>
    <n v="3"/>
    <s v="Single"/>
    <n v="4695"/>
    <n v="12858"/>
    <n v="7"/>
    <s v="Yes"/>
    <n v="18"/>
    <n v="3"/>
    <n v="3"/>
    <n v="0"/>
    <n v="10"/>
    <n v="3"/>
    <n v="3"/>
    <n v="8"/>
    <n v="4"/>
    <n v="1"/>
    <n v="7"/>
    <x v="1"/>
    <n v="42255"/>
    <x v="0"/>
    <n v="0"/>
  </r>
  <r>
    <n v="29"/>
    <x v="0"/>
    <s v="Travel_Rarely"/>
    <n v="806"/>
    <x v="1"/>
    <n v="7"/>
    <n v="3"/>
    <s v="Technical Degree"/>
    <n v="1299"/>
    <n v="2"/>
    <s v="Female"/>
    <n v="39"/>
    <n v="3"/>
    <n v="1"/>
    <x v="2"/>
    <n v="3"/>
    <s v="Divorced"/>
    <n v="3339"/>
    <n v="17285"/>
    <n v="3"/>
    <s v="Yes"/>
    <n v="13"/>
    <n v="3"/>
    <n v="1"/>
    <n v="2"/>
    <n v="10"/>
    <n v="2"/>
    <n v="3"/>
    <n v="7"/>
    <n v="7"/>
    <n v="7"/>
    <n v="7"/>
    <x v="1"/>
    <n v="30051"/>
    <x v="0"/>
    <n v="30051"/>
  </r>
  <r>
    <n v="28"/>
    <x v="1"/>
    <s v="Travel_Rarely"/>
    <n v="640"/>
    <x v="1"/>
    <n v="1"/>
    <n v="3"/>
    <s v="Technical Degree"/>
    <n v="1301"/>
    <n v="4"/>
    <s v="Male"/>
    <n v="84"/>
    <n v="3"/>
    <n v="1"/>
    <x v="1"/>
    <n v="1"/>
    <s v="Single"/>
    <n v="2080"/>
    <n v="4732"/>
    <n v="2"/>
    <s v="No"/>
    <n v="11"/>
    <n v="3"/>
    <n v="2"/>
    <n v="0"/>
    <n v="5"/>
    <n v="2"/>
    <n v="2"/>
    <n v="3"/>
    <n v="2"/>
    <n v="1"/>
    <n v="2"/>
    <x v="3"/>
    <n v="18720"/>
    <x v="0"/>
    <n v="0"/>
  </r>
  <r>
    <n v="25"/>
    <x v="1"/>
    <s v="Travel_Rarely"/>
    <n v="266"/>
    <x v="1"/>
    <n v="1"/>
    <n v="3"/>
    <s v="Medical"/>
    <n v="1303"/>
    <n v="4"/>
    <s v="Female"/>
    <n v="40"/>
    <n v="3"/>
    <n v="1"/>
    <x v="1"/>
    <n v="2"/>
    <s v="Single"/>
    <n v="2096"/>
    <n v="18830"/>
    <n v="1"/>
    <s v="No"/>
    <n v="18"/>
    <n v="3"/>
    <n v="4"/>
    <n v="0"/>
    <n v="2"/>
    <n v="3"/>
    <n v="2"/>
    <n v="2"/>
    <n v="2"/>
    <n v="2"/>
    <n v="1"/>
    <x v="3"/>
    <n v="18864"/>
    <x v="0"/>
    <n v="0"/>
  </r>
  <r>
    <n v="32"/>
    <x v="1"/>
    <s v="Travel_Rarely"/>
    <n v="604"/>
    <x v="0"/>
    <n v="8"/>
    <n v="3"/>
    <s v="Medical"/>
    <n v="1304"/>
    <n v="3"/>
    <s v="Male"/>
    <n v="56"/>
    <n v="4"/>
    <n v="2"/>
    <x v="0"/>
    <n v="4"/>
    <s v="Married"/>
    <n v="6209"/>
    <n v="11693"/>
    <n v="1"/>
    <s v="No"/>
    <n v="15"/>
    <n v="3"/>
    <n v="3"/>
    <n v="2"/>
    <n v="10"/>
    <n v="4"/>
    <n v="4"/>
    <n v="10"/>
    <n v="7"/>
    <n v="0"/>
    <n v="8"/>
    <x v="1"/>
    <n v="55881"/>
    <x v="1"/>
    <n v="0"/>
  </r>
  <r>
    <n v="45"/>
    <x v="1"/>
    <s v="Travel_Frequently"/>
    <n v="364"/>
    <x v="1"/>
    <n v="25"/>
    <n v="3"/>
    <s v="Medical"/>
    <n v="1306"/>
    <n v="2"/>
    <s v="Female"/>
    <n v="83"/>
    <n v="3"/>
    <n v="5"/>
    <x v="5"/>
    <n v="2"/>
    <s v="Single"/>
    <n v="18061"/>
    <n v="13035"/>
    <n v="3"/>
    <s v="No"/>
    <n v="22"/>
    <n v="4"/>
    <n v="3"/>
    <n v="0"/>
    <n v="22"/>
    <n v="4"/>
    <n v="3"/>
    <n v="0"/>
    <n v="0"/>
    <n v="0"/>
    <n v="0"/>
    <x v="2"/>
    <n v="162549"/>
    <x v="0"/>
    <n v="0"/>
  </r>
  <r>
    <n v="39"/>
    <x v="1"/>
    <s v="Travel_Rarely"/>
    <n v="412"/>
    <x v="1"/>
    <n v="13"/>
    <n v="4"/>
    <s v="Medical"/>
    <n v="1307"/>
    <n v="3"/>
    <s v="Female"/>
    <n v="94"/>
    <n v="2"/>
    <n v="4"/>
    <x v="5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  <x v="1"/>
    <n v="154107"/>
    <x v="0"/>
    <n v="0"/>
  </r>
  <r>
    <n v="58"/>
    <x v="1"/>
    <s v="Travel_Rarely"/>
    <n v="848"/>
    <x v="1"/>
    <n v="23"/>
    <n v="4"/>
    <s v="Life Sciences"/>
    <n v="1308"/>
    <n v="1"/>
    <s v="Male"/>
    <n v="88"/>
    <n v="3"/>
    <n v="1"/>
    <x v="1"/>
    <n v="3"/>
    <s v="Divorced"/>
    <n v="2372"/>
    <n v="26076"/>
    <n v="1"/>
    <s v="No"/>
    <n v="12"/>
    <n v="3"/>
    <n v="4"/>
    <n v="2"/>
    <n v="2"/>
    <n v="3"/>
    <n v="3"/>
    <n v="2"/>
    <n v="2"/>
    <n v="2"/>
    <n v="2"/>
    <x v="3"/>
    <n v="21348"/>
    <x v="1"/>
    <n v="0"/>
  </r>
  <r>
    <n v="32"/>
    <x v="0"/>
    <s v="Travel_Rarely"/>
    <n v="1089"/>
    <x v="1"/>
    <n v="7"/>
    <n v="2"/>
    <s v="Life Sciences"/>
    <n v="1309"/>
    <n v="4"/>
    <s v="Male"/>
    <n v="79"/>
    <n v="3"/>
    <n v="2"/>
    <x v="2"/>
    <n v="3"/>
    <s v="Married"/>
    <n v="4883"/>
    <n v="22845"/>
    <n v="1"/>
    <s v="No"/>
    <n v="18"/>
    <n v="3"/>
    <n v="1"/>
    <n v="1"/>
    <n v="10"/>
    <n v="3"/>
    <n v="3"/>
    <n v="10"/>
    <n v="4"/>
    <n v="1"/>
    <n v="1"/>
    <x v="1"/>
    <n v="43947"/>
    <x v="1"/>
    <n v="43947"/>
  </r>
  <r>
    <n v="39"/>
    <x v="0"/>
    <s v="Travel_Rarely"/>
    <n v="360"/>
    <x v="1"/>
    <n v="23"/>
    <n v="3"/>
    <s v="Medical"/>
    <n v="1310"/>
    <n v="3"/>
    <s v="Male"/>
    <n v="93"/>
    <n v="3"/>
    <n v="1"/>
    <x v="1"/>
    <n v="1"/>
    <s v="Single"/>
    <n v="3904"/>
    <n v="22154"/>
    <n v="0"/>
    <s v="No"/>
    <n v="13"/>
    <n v="3"/>
    <n v="1"/>
    <n v="0"/>
    <n v="6"/>
    <n v="2"/>
    <n v="3"/>
    <n v="5"/>
    <n v="2"/>
    <n v="0"/>
    <n v="3"/>
    <x v="0"/>
    <n v="35136"/>
    <x v="0"/>
    <n v="35136"/>
  </r>
  <r>
    <n v="30"/>
    <x v="1"/>
    <s v="Travel_Rarely"/>
    <n v="1138"/>
    <x v="1"/>
    <n v="6"/>
    <n v="3"/>
    <s v="Technical Degree"/>
    <n v="1311"/>
    <n v="1"/>
    <s v="Female"/>
    <n v="48"/>
    <n v="2"/>
    <n v="2"/>
    <x v="2"/>
    <n v="4"/>
    <s v="Married"/>
    <n v="4627"/>
    <n v="23631"/>
    <n v="0"/>
    <s v="No"/>
    <n v="12"/>
    <n v="3"/>
    <n v="1"/>
    <n v="1"/>
    <n v="10"/>
    <n v="6"/>
    <n v="3"/>
    <n v="9"/>
    <n v="2"/>
    <n v="6"/>
    <n v="7"/>
    <x v="1"/>
    <n v="41643"/>
    <x v="1"/>
    <n v="0"/>
  </r>
  <r>
    <n v="36"/>
    <x v="1"/>
    <s v="Travel_Rarely"/>
    <n v="325"/>
    <x v="1"/>
    <n v="10"/>
    <n v="4"/>
    <s v="Technical Degree"/>
    <n v="1312"/>
    <n v="4"/>
    <s v="Female"/>
    <n v="63"/>
    <n v="3"/>
    <n v="3"/>
    <x v="4"/>
    <n v="3"/>
    <s v="Married"/>
    <n v="7094"/>
    <n v="5747"/>
    <n v="3"/>
    <s v="No"/>
    <n v="12"/>
    <n v="3"/>
    <n v="1"/>
    <n v="0"/>
    <n v="10"/>
    <n v="0"/>
    <n v="3"/>
    <n v="7"/>
    <n v="7"/>
    <n v="1"/>
    <n v="7"/>
    <x v="1"/>
    <n v="63846"/>
    <x v="1"/>
    <n v="0"/>
  </r>
  <r>
    <n v="46"/>
    <x v="1"/>
    <s v="Travel_Rarely"/>
    <n v="991"/>
    <x v="2"/>
    <n v="1"/>
    <n v="2"/>
    <s v="Life Sciences"/>
    <n v="1314"/>
    <n v="4"/>
    <s v="Female"/>
    <n v="44"/>
    <n v="3"/>
    <n v="1"/>
    <x v="8"/>
    <n v="1"/>
    <s v="Single"/>
    <n v="3423"/>
    <n v="22957"/>
    <n v="6"/>
    <s v="No"/>
    <n v="12"/>
    <n v="3"/>
    <n v="3"/>
    <n v="0"/>
    <n v="10"/>
    <n v="3"/>
    <n v="4"/>
    <n v="7"/>
    <n v="6"/>
    <n v="5"/>
    <n v="7"/>
    <x v="1"/>
    <n v="30807"/>
    <x v="0"/>
    <n v="0"/>
  </r>
  <r>
    <n v="28"/>
    <x v="1"/>
    <s v="Non-Travel"/>
    <n v="1476"/>
    <x v="1"/>
    <n v="1"/>
    <n v="3"/>
    <s v="Life Sciences"/>
    <n v="1315"/>
    <n v="3"/>
    <s v="Female"/>
    <n v="55"/>
    <n v="1"/>
    <n v="2"/>
    <x v="2"/>
    <n v="4"/>
    <s v="Married"/>
    <n v="6674"/>
    <n v="16392"/>
    <n v="0"/>
    <s v="No"/>
    <n v="11"/>
    <n v="3"/>
    <n v="1"/>
    <n v="3"/>
    <n v="10"/>
    <n v="6"/>
    <n v="3"/>
    <n v="9"/>
    <n v="8"/>
    <n v="7"/>
    <n v="5"/>
    <x v="1"/>
    <n v="60066"/>
    <x v="1"/>
    <n v="0"/>
  </r>
  <r>
    <n v="50"/>
    <x v="1"/>
    <s v="Travel_Rarely"/>
    <n v="1322"/>
    <x v="1"/>
    <n v="28"/>
    <n v="3"/>
    <s v="Life Sciences"/>
    <n v="1317"/>
    <n v="4"/>
    <s v="Female"/>
    <n v="43"/>
    <n v="3"/>
    <n v="4"/>
    <x v="7"/>
    <n v="1"/>
    <s v="Married"/>
    <n v="16880"/>
    <n v="22422"/>
    <n v="4"/>
    <s v="Yes"/>
    <n v="11"/>
    <n v="3"/>
    <n v="2"/>
    <n v="0"/>
    <n v="25"/>
    <n v="2"/>
    <n v="3"/>
    <n v="3"/>
    <n v="2"/>
    <n v="1"/>
    <n v="2"/>
    <x v="3"/>
    <n v="151920"/>
    <x v="2"/>
    <n v="0"/>
  </r>
  <r>
    <n v="40"/>
    <x v="0"/>
    <s v="Travel_Rarely"/>
    <n v="299"/>
    <x v="0"/>
    <n v="25"/>
    <n v="4"/>
    <s v="Marketing"/>
    <n v="1318"/>
    <n v="4"/>
    <s v="Male"/>
    <n v="57"/>
    <n v="2"/>
    <n v="3"/>
    <x v="0"/>
    <n v="2"/>
    <s v="Single"/>
    <n v="9094"/>
    <n v="17235"/>
    <n v="2"/>
    <s v="Yes"/>
    <n v="12"/>
    <n v="3"/>
    <n v="3"/>
    <n v="0"/>
    <n v="9"/>
    <n v="2"/>
    <n v="3"/>
    <n v="5"/>
    <n v="4"/>
    <n v="1"/>
    <n v="0"/>
    <x v="0"/>
    <n v="81846"/>
    <x v="0"/>
    <n v="81846"/>
  </r>
  <r>
    <n v="52"/>
    <x v="0"/>
    <s v="Travel_Rarely"/>
    <n v="1030"/>
    <x v="0"/>
    <n v="5"/>
    <n v="3"/>
    <s v="Life Sciences"/>
    <n v="1319"/>
    <n v="2"/>
    <s v="Male"/>
    <n v="64"/>
    <n v="3"/>
    <n v="3"/>
    <x v="0"/>
    <n v="2"/>
    <s v="Single"/>
    <n v="8446"/>
    <n v="21534"/>
    <n v="9"/>
    <s v="Yes"/>
    <n v="19"/>
    <n v="3"/>
    <n v="3"/>
    <n v="0"/>
    <n v="10"/>
    <n v="2"/>
    <n v="2"/>
    <n v="8"/>
    <n v="7"/>
    <n v="7"/>
    <n v="7"/>
    <x v="1"/>
    <n v="76014"/>
    <x v="0"/>
    <n v="76014"/>
  </r>
  <r>
    <n v="30"/>
    <x v="1"/>
    <s v="Travel_Rarely"/>
    <n v="634"/>
    <x v="1"/>
    <n v="17"/>
    <n v="4"/>
    <s v="Medical"/>
    <n v="1321"/>
    <n v="2"/>
    <s v="Female"/>
    <n v="95"/>
    <n v="3"/>
    <n v="3"/>
    <x v="5"/>
    <n v="1"/>
    <s v="Married"/>
    <n v="11916"/>
    <n v="25927"/>
    <n v="1"/>
    <s v="Yes"/>
    <n v="23"/>
    <n v="4"/>
    <n v="4"/>
    <n v="2"/>
    <n v="9"/>
    <n v="2"/>
    <n v="3"/>
    <n v="9"/>
    <n v="1"/>
    <n v="0"/>
    <n v="8"/>
    <x v="1"/>
    <n v="107244"/>
    <x v="0"/>
    <n v="0"/>
  </r>
  <r>
    <n v="39"/>
    <x v="1"/>
    <s v="Travel_Rarely"/>
    <n v="524"/>
    <x v="1"/>
    <n v="18"/>
    <n v="2"/>
    <s v="Life Sciences"/>
    <n v="1322"/>
    <n v="1"/>
    <s v="Male"/>
    <n v="32"/>
    <n v="3"/>
    <n v="2"/>
    <x v="3"/>
    <n v="3"/>
    <s v="Single"/>
    <n v="4534"/>
    <n v="13352"/>
    <n v="0"/>
    <s v="No"/>
    <n v="11"/>
    <n v="3"/>
    <n v="1"/>
    <n v="0"/>
    <n v="9"/>
    <n v="6"/>
    <n v="3"/>
    <n v="8"/>
    <n v="7"/>
    <n v="1"/>
    <n v="7"/>
    <x v="1"/>
    <n v="40806"/>
    <x v="1"/>
    <n v="0"/>
  </r>
  <r>
    <n v="31"/>
    <x v="1"/>
    <s v="Non-Travel"/>
    <n v="587"/>
    <x v="0"/>
    <n v="2"/>
    <n v="4"/>
    <s v="Life Sciences"/>
    <n v="1324"/>
    <n v="4"/>
    <s v="Female"/>
    <n v="57"/>
    <n v="3"/>
    <n v="3"/>
    <x v="0"/>
    <n v="3"/>
    <s v="Divorced"/>
    <n v="9852"/>
    <n v="8935"/>
    <n v="1"/>
    <s v="Yes"/>
    <n v="19"/>
    <n v="3"/>
    <n v="1"/>
    <n v="1"/>
    <n v="10"/>
    <n v="5"/>
    <n v="2"/>
    <n v="10"/>
    <n v="8"/>
    <n v="9"/>
    <n v="6"/>
    <x v="1"/>
    <n v="88668"/>
    <x v="0"/>
    <n v="0"/>
  </r>
  <r>
    <n v="41"/>
    <x v="1"/>
    <s v="Non-Travel"/>
    <n v="256"/>
    <x v="0"/>
    <n v="10"/>
    <n v="2"/>
    <s v="Medical"/>
    <n v="1329"/>
    <n v="3"/>
    <s v="Male"/>
    <n v="40"/>
    <n v="1"/>
    <n v="2"/>
    <x v="0"/>
    <n v="2"/>
    <s v="Single"/>
    <n v="6151"/>
    <n v="22074"/>
    <n v="1"/>
    <s v="No"/>
    <n v="13"/>
    <n v="3"/>
    <n v="1"/>
    <n v="0"/>
    <n v="19"/>
    <n v="4"/>
    <n v="3"/>
    <n v="19"/>
    <n v="2"/>
    <n v="11"/>
    <n v="9"/>
    <x v="1"/>
    <n v="55359"/>
    <x v="0"/>
    <n v="0"/>
  </r>
  <r>
    <n v="31"/>
    <x v="0"/>
    <s v="Travel_Frequently"/>
    <n v="1060"/>
    <x v="0"/>
    <n v="1"/>
    <n v="3"/>
    <s v="Life Sciences"/>
    <n v="1331"/>
    <n v="4"/>
    <s v="Female"/>
    <n v="54"/>
    <n v="3"/>
    <n v="1"/>
    <x v="6"/>
    <n v="2"/>
    <s v="Single"/>
    <n v="2302"/>
    <n v="8319"/>
    <n v="1"/>
    <s v="Yes"/>
    <n v="11"/>
    <n v="3"/>
    <n v="1"/>
    <n v="0"/>
    <n v="3"/>
    <n v="2"/>
    <n v="4"/>
    <n v="3"/>
    <n v="2"/>
    <n v="2"/>
    <n v="2"/>
    <x v="3"/>
    <n v="20718"/>
    <x v="2"/>
    <n v="20718"/>
  </r>
  <r>
    <n v="44"/>
    <x v="0"/>
    <s v="Travel_Rarely"/>
    <n v="935"/>
    <x v="1"/>
    <n v="3"/>
    <n v="3"/>
    <s v="Life Sciences"/>
    <n v="1333"/>
    <n v="1"/>
    <s v="Male"/>
    <n v="89"/>
    <n v="3"/>
    <n v="1"/>
    <x v="2"/>
    <n v="1"/>
    <s v="Married"/>
    <n v="2362"/>
    <n v="14669"/>
    <n v="4"/>
    <s v="No"/>
    <n v="12"/>
    <n v="3"/>
    <n v="3"/>
    <n v="0"/>
    <n v="10"/>
    <n v="4"/>
    <n v="4"/>
    <n v="3"/>
    <n v="2"/>
    <n v="1"/>
    <n v="2"/>
    <x v="3"/>
    <n v="21258"/>
    <x v="0"/>
    <n v="21258"/>
  </r>
  <r>
    <n v="42"/>
    <x v="1"/>
    <s v="Non-Travel"/>
    <n v="495"/>
    <x v="1"/>
    <n v="2"/>
    <n v="1"/>
    <s v="Life Sciences"/>
    <n v="1334"/>
    <n v="3"/>
    <s v="Male"/>
    <n v="37"/>
    <n v="3"/>
    <n v="4"/>
    <x v="5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  <x v="1"/>
    <n v="160749"/>
    <x v="0"/>
    <n v="0"/>
  </r>
  <r>
    <n v="55"/>
    <x v="1"/>
    <s v="Travel_Rarely"/>
    <n v="282"/>
    <x v="1"/>
    <n v="2"/>
    <n v="2"/>
    <s v="Medical"/>
    <n v="1336"/>
    <n v="4"/>
    <s v="Female"/>
    <n v="58"/>
    <n v="1"/>
    <n v="5"/>
    <x v="5"/>
    <n v="3"/>
    <s v="Married"/>
    <n v="19187"/>
    <n v="6992"/>
    <n v="4"/>
    <s v="No"/>
    <n v="14"/>
    <n v="3"/>
    <n v="4"/>
    <n v="1"/>
    <n v="23"/>
    <n v="5"/>
    <n v="3"/>
    <n v="19"/>
    <n v="9"/>
    <n v="9"/>
    <n v="11"/>
    <x v="1"/>
    <n v="172683"/>
    <x v="1"/>
    <n v="0"/>
  </r>
  <r>
    <n v="56"/>
    <x v="1"/>
    <s v="Travel_Rarely"/>
    <n v="206"/>
    <x v="2"/>
    <n v="8"/>
    <n v="4"/>
    <s v="Life Sciences"/>
    <n v="1338"/>
    <n v="4"/>
    <s v="Male"/>
    <n v="99"/>
    <n v="3"/>
    <n v="5"/>
    <x v="5"/>
    <n v="2"/>
    <s v="Single"/>
    <n v="19717"/>
    <n v="4022"/>
    <n v="6"/>
    <s v="No"/>
    <n v="14"/>
    <n v="3"/>
    <n v="1"/>
    <n v="0"/>
    <n v="36"/>
    <n v="4"/>
    <n v="3"/>
    <n v="7"/>
    <n v="3"/>
    <n v="7"/>
    <n v="7"/>
    <x v="1"/>
    <n v="177453"/>
    <x v="0"/>
    <n v="0"/>
  </r>
  <r>
    <n v="40"/>
    <x v="1"/>
    <s v="Non-Travel"/>
    <n v="458"/>
    <x v="1"/>
    <n v="16"/>
    <n v="2"/>
    <s v="Life Sciences"/>
    <n v="1340"/>
    <n v="3"/>
    <s v="Male"/>
    <n v="74"/>
    <n v="3"/>
    <n v="1"/>
    <x v="1"/>
    <n v="3"/>
    <s v="Divorced"/>
    <n v="3544"/>
    <n v="8532"/>
    <n v="9"/>
    <s v="No"/>
    <n v="16"/>
    <n v="3"/>
    <n v="2"/>
    <n v="1"/>
    <n v="6"/>
    <n v="0"/>
    <n v="3"/>
    <n v="4"/>
    <n v="2"/>
    <n v="0"/>
    <n v="0"/>
    <x v="0"/>
    <n v="31896"/>
    <x v="1"/>
    <n v="0"/>
  </r>
  <r>
    <n v="34"/>
    <x v="1"/>
    <s v="Travel_Rarely"/>
    <n v="943"/>
    <x v="1"/>
    <n v="9"/>
    <n v="3"/>
    <s v="Life Sciences"/>
    <n v="1344"/>
    <n v="4"/>
    <s v="Male"/>
    <n v="86"/>
    <n v="3"/>
    <n v="3"/>
    <x v="4"/>
    <n v="4"/>
    <s v="Divorced"/>
    <n v="8500"/>
    <n v="5494"/>
    <n v="0"/>
    <s v="No"/>
    <n v="11"/>
    <n v="3"/>
    <n v="4"/>
    <n v="1"/>
    <n v="10"/>
    <n v="0"/>
    <n v="2"/>
    <n v="9"/>
    <n v="7"/>
    <n v="1"/>
    <n v="6"/>
    <x v="1"/>
    <n v="76500"/>
    <x v="1"/>
    <n v="0"/>
  </r>
  <r>
    <n v="40"/>
    <x v="1"/>
    <s v="Travel_Rarely"/>
    <n v="523"/>
    <x v="1"/>
    <n v="2"/>
    <n v="3"/>
    <s v="Life Sciences"/>
    <n v="1346"/>
    <n v="3"/>
    <s v="Male"/>
    <n v="98"/>
    <n v="3"/>
    <n v="2"/>
    <x v="1"/>
    <n v="4"/>
    <s v="Single"/>
    <n v="4661"/>
    <n v="22455"/>
    <n v="1"/>
    <s v="No"/>
    <n v="13"/>
    <n v="3"/>
    <n v="3"/>
    <n v="0"/>
    <n v="9"/>
    <n v="4"/>
    <n v="3"/>
    <n v="9"/>
    <n v="8"/>
    <n v="8"/>
    <n v="8"/>
    <x v="1"/>
    <n v="41949"/>
    <x v="1"/>
    <n v="0"/>
  </r>
  <r>
    <n v="41"/>
    <x v="1"/>
    <s v="Travel_Frequently"/>
    <n v="1018"/>
    <x v="0"/>
    <n v="1"/>
    <n v="3"/>
    <s v="Marketing"/>
    <n v="1349"/>
    <n v="3"/>
    <s v="Female"/>
    <n v="66"/>
    <n v="3"/>
    <n v="2"/>
    <x v="0"/>
    <n v="1"/>
    <s v="Divorced"/>
    <n v="4103"/>
    <n v="4297"/>
    <n v="0"/>
    <s v="No"/>
    <n v="17"/>
    <n v="3"/>
    <n v="4"/>
    <n v="1"/>
    <n v="10"/>
    <n v="2"/>
    <n v="3"/>
    <n v="9"/>
    <n v="3"/>
    <n v="1"/>
    <n v="7"/>
    <x v="1"/>
    <n v="36927"/>
    <x v="0"/>
    <n v="0"/>
  </r>
  <r>
    <n v="35"/>
    <x v="1"/>
    <s v="Travel_Frequently"/>
    <n v="482"/>
    <x v="1"/>
    <n v="4"/>
    <n v="4"/>
    <s v="Life Sciences"/>
    <n v="1350"/>
    <n v="3"/>
    <s v="Male"/>
    <n v="87"/>
    <n v="3"/>
    <n v="2"/>
    <x v="1"/>
    <n v="3"/>
    <s v="Single"/>
    <n v="4249"/>
    <n v="2690"/>
    <n v="1"/>
    <s v="Yes"/>
    <n v="11"/>
    <n v="3"/>
    <n v="2"/>
    <n v="0"/>
    <n v="9"/>
    <n v="3"/>
    <n v="3"/>
    <n v="9"/>
    <n v="6"/>
    <n v="1"/>
    <n v="1"/>
    <x v="1"/>
    <n v="38241"/>
    <x v="0"/>
    <n v="0"/>
  </r>
  <r>
    <n v="51"/>
    <x v="1"/>
    <s v="Travel_Rarely"/>
    <n v="770"/>
    <x v="2"/>
    <n v="5"/>
    <n v="3"/>
    <s v="Life Sciences"/>
    <n v="1352"/>
    <n v="3"/>
    <s v="Male"/>
    <n v="84"/>
    <n v="3"/>
    <n v="4"/>
    <x v="5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  <x v="1"/>
    <n v="126234"/>
    <x v="0"/>
    <n v="0"/>
  </r>
  <r>
    <n v="38"/>
    <x v="1"/>
    <s v="Travel_Rarely"/>
    <n v="1009"/>
    <x v="0"/>
    <n v="2"/>
    <n v="2"/>
    <s v="Life Sciences"/>
    <n v="1355"/>
    <n v="2"/>
    <s v="Female"/>
    <n v="31"/>
    <n v="3"/>
    <n v="2"/>
    <x v="0"/>
    <n v="1"/>
    <s v="Divorced"/>
    <n v="6893"/>
    <n v="19461"/>
    <n v="3"/>
    <s v="No"/>
    <n v="15"/>
    <n v="3"/>
    <n v="4"/>
    <n v="1"/>
    <n v="11"/>
    <n v="3"/>
    <n v="3"/>
    <n v="7"/>
    <n v="7"/>
    <n v="1"/>
    <n v="7"/>
    <x v="1"/>
    <n v="62037"/>
    <x v="0"/>
    <n v="0"/>
  </r>
  <r>
    <n v="34"/>
    <x v="1"/>
    <s v="Travel_Rarely"/>
    <n v="507"/>
    <x v="0"/>
    <n v="15"/>
    <n v="2"/>
    <s v="Medical"/>
    <n v="1356"/>
    <n v="3"/>
    <s v="Female"/>
    <n v="66"/>
    <n v="3"/>
    <n v="2"/>
    <x v="0"/>
    <n v="1"/>
    <s v="Single"/>
    <n v="6125"/>
    <n v="23553"/>
    <n v="1"/>
    <s v="No"/>
    <n v="12"/>
    <n v="3"/>
    <n v="4"/>
    <n v="0"/>
    <n v="10"/>
    <n v="6"/>
    <n v="4"/>
    <n v="10"/>
    <n v="8"/>
    <n v="9"/>
    <n v="6"/>
    <x v="1"/>
    <n v="55125"/>
    <x v="0"/>
    <n v="0"/>
  </r>
  <r>
    <n v="25"/>
    <x v="1"/>
    <s v="Travel_Rarely"/>
    <n v="882"/>
    <x v="1"/>
    <n v="19"/>
    <n v="1"/>
    <s v="Medical"/>
    <n v="1358"/>
    <n v="4"/>
    <s v="Male"/>
    <n v="67"/>
    <n v="3"/>
    <n v="1"/>
    <x v="2"/>
    <n v="4"/>
    <s v="Married"/>
    <n v="3669"/>
    <n v="9075"/>
    <n v="3"/>
    <s v="No"/>
    <n v="11"/>
    <n v="3"/>
    <n v="3"/>
    <n v="3"/>
    <n v="7"/>
    <n v="6"/>
    <n v="2"/>
    <n v="3"/>
    <n v="2"/>
    <n v="1"/>
    <n v="2"/>
    <x v="3"/>
    <n v="33021"/>
    <x v="1"/>
    <n v="0"/>
  </r>
  <r>
    <n v="58"/>
    <x v="0"/>
    <s v="Travel_Rarely"/>
    <n v="601"/>
    <x v="1"/>
    <n v="7"/>
    <n v="4"/>
    <s v="Medical"/>
    <n v="1360"/>
    <n v="3"/>
    <s v="Female"/>
    <n v="53"/>
    <n v="2"/>
    <n v="3"/>
    <x v="3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  <x v="1"/>
    <n v="90072"/>
    <x v="0"/>
    <n v="90072"/>
  </r>
  <r>
    <n v="40"/>
    <x v="1"/>
    <s v="Travel_Rarely"/>
    <n v="329"/>
    <x v="1"/>
    <n v="1"/>
    <n v="4"/>
    <s v="Life Sciences"/>
    <n v="1361"/>
    <n v="2"/>
    <s v="Male"/>
    <n v="88"/>
    <n v="3"/>
    <n v="1"/>
    <x v="2"/>
    <n v="2"/>
    <s v="Married"/>
    <n v="2387"/>
    <n v="6762"/>
    <n v="3"/>
    <s v="No"/>
    <n v="22"/>
    <n v="4"/>
    <n v="3"/>
    <n v="1"/>
    <n v="7"/>
    <n v="3"/>
    <n v="3"/>
    <n v="4"/>
    <n v="2"/>
    <n v="0"/>
    <n v="3"/>
    <x v="0"/>
    <n v="21483"/>
    <x v="0"/>
    <n v="0"/>
  </r>
  <r>
    <n v="36"/>
    <x v="1"/>
    <s v="Travel_Frequently"/>
    <n v="607"/>
    <x v="0"/>
    <n v="7"/>
    <n v="3"/>
    <s v="Marketing"/>
    <n v="1362"/>
    <n v="1"/>
    <s v="Female"/>
    <n v="83"/>
    <n v="4"/>
    <n v="2"/>
    <x v="0"/>
    <n v="1"/>
    <s v="Married"/>
    <n v="4639"/>
    <n v="2261"/>
    <n v="2"/>
    <s v="No"/>
    <n v="16"/>
    <n v="3"/>
    <n v="4"/>
    <n v="1"/>
    <n v="17"/>
    <n v="2"/>
    <n v="2"/>
    <n v="15"/>
    <n v="7"/>
    <n v="6"/>
    <n v="13"/>
    <x v="1"/>
    <n v="41751"/>
    <x v="0"/>
    <n v="0"/>
  </r>
  <r>
    <n v="48"/>
    <x v="1"/>
    <s v="Travel_Rarely"/>
    <n v="855"/>
    <x v="1"/>
    <n v="4"/>
    <n v="3"/>
    <s v="Life Sciences"/>
    <n v="1363"/>
    <n v="4"/>
    <s v="Male"/>
    <n v="54"/>
    <n v="3"/>
    <n v="3"/>
    <x v="3"/>
    <n v="4"/>
    <s v="Single"/>
    <n v="7898"/>
    <n v="18706"/>
    <n v="1"/>
    <s v="No"/>
    <n v="11"/>
    <n v="3"/>
    <n v="3"/>
    <n v="0"/>
    <n v="11"/>
    <n v="2"/>
    <n v="3"/>
    <n v="10"/>
    <n v="9"/>
    <n v="0"/>
    <n v="8"/>
    <x v="1"/>
    <n v="71082"/>
    <x v="1"/>
    <n v="0"/>
  </r>
  <r>
    <n v="27"/>
    <x v="1"/>
    <s v="Travel_Rarely"/>
    <n v="1291"/>
    <x v="0"/>
    <n v="11"/>
    <n v="3"/>
    <s v="Medical"/>
    <n v="1364"/>
    <n v="3"/>
    <s v="Female"/>
    <n v="98"/>
    <n v="4"/>
    <n v="1"/>
    <x v="6"/>
    <n v="4"/>
    <s v="Married"/>
    <n v="2534"/>
    <n v="6527"/>
    <n v="8"/>
    <s v="No"/>
    <n v="14"/>
    <n v="3"/>
    <n v="2"/>
    <n v="1"/>
    <n v="5"/>
    <n v="4"/>
    <n v="3"/>
    <n v="1"/>
    <n v="0"/>
    <n v="0"/>
    <n v="0"/>
    <x v="3"/>
    <n v="22806"/>
    <x v="1"/>
    <n v="0"/>
  </r>
  <r>
    <n v="51"/>
    <x v="1"/>
    <s v="Travel_Rarely"/>
    <n v="1405"/>
    <x v="1"/>
    <n v="11"/>
    <n v="2"/>
    <s v="Technical Degree"/>
    <n v="1367"/>
    <n v="4"/>
    <s v="Female"/>
    <n v="82"/>
    <n v="2"/>
    <n v="4"/>
    <x v="3"/>
    <n v="2"/>
    <s v="Single"/>
    <n v="13142"/>
    <n v="24439"/>
    <n v="3"/>
    <s v="No"/>
    <n v="16"/>
    <n v="3"/>
    <n v="2"/>
    <n v="0"/>
    <n v="29"/>
    <n v="1"/>
    <n v="2"/>
    <n v="5"/>
    <n v="2"/>
    <n v="0"/>
    <n v="3"/>
    <x v="0"/>
    <n v="118278"/>
    <x v="0"/>
    <n v="0"/>
  </r>
  <r>
    <n v="18"/>
    <x v="1"/>
    <s v="Non-Travel"/>
    <n v="1124"/>
    <x v="1"/>
    <n v="1"/>
    <n v="3"/>
    <s v="Life Sciences"/>
    <n v="1368"/>
    <n v="4"/>
    <s v="Female"/>
    <n v="97"/>
    <n v="3"/>
    <n v="1"/>
    <x v="2"/>
    <n v="4"/>
    <s v="Single"/>
    <n v="1611"/>
    <n v="19305"/>
    <n v="1"/>
    <s v="No"/>
    <n v="15"/>
    <n v="3"/>
    <n v="3"/>
    <n v="0"/>
    <n v="0"/>
    <n v="5"/>
    <n v="4"/>
    <n v="0"/>
    <n v="0"/>
    <n v="0"/>
    <n v="0"/>
    <x v="2"/>
    <n v="14499"/>
    <x v="1"/>
    <n v="0"/>
  </r>
  <r>
    <n v="35"/>
    <x v="1"/>
    <s v="Travel_Rarely"/>
    <n v="817"/>
    <x v="1"/>
    <n v="1"/>
    <n v="3"/>
    <s v="Medical"/>
    <n v="1369"/>
    <n v="4"/>
    <s v="Female"/>
    <n v="60"/>
    <n v="2"/>
    <n v="2"/>
    <x v="2"/>
    <n v="4"/>
    <s v="Married"/>
    <n v="5363"/>
    <n v="10846"/>
    <n v="0"/>
    <s v="No"/>
    <n v="12"/>
    <n v="3"/>
    <n v="2"/>
    <n v="1"/>
    <n v="10"/>
    <n v="0"/>
    <n v="3"/>
    <n v="9"/>
    <n v="7"/>
    <n v="0"/>
    <n v="0"/>
    <x v="1"/>
    <n v="48267"/>
    <x v="1"/>
    <n v="0"/>
  </r>
  <r>
    <n v="27"/>
    <x v="1"/>
    <s v="Travel_Frequently"/>
    <n v="793"/>
    <x v="0"/>
    <n v="2"/>
    <n v="1"/>
    <s v="Life Sciences"/>
    <n v="1371"/>
    <n v="4"/>
    <s v="Male"/>
    <n v="43"/>
    <n v="1"/>
    <n v="2"/>
    <x v="0"/>
    <n v="4"/>
    <s v="Single"/>
    <n v="5071"/>
    <n v="20392"/>
    <n v="3"/>
    <s v="No"/>
    <n v="20"/>
    <n v="4"/>
    <n v="2"/>
    <n v="0"/>
    <n v="8"/>
    <n v="3"/>
    <n v="3"/>
    <n v="6"/>
    <n v="2"/>
    <n v="0"/>
    <n v="0"/>
    <x v="0"/>
    <n v="45639"/>
    <x v="1"/>
    <n v="0"/>
  </r>
  <r>
    <n v="55"/>
    <x v="0"/>
    <s v="Travel_Rarely"/>
    <n v="267"/>
    <x v="0"/>
    <n v="13"/>
    <n v="4"/>
    <s v="Marketing"/>
    <n v="1372"/>
    <n v="1"/>
    <s v="Male"/>
    <n v="85"/>
    <n v="4"/>
    <n v="4"/>
    <x v="0"/>
    <n v="3"/>
    <s v="Single"/>
    <n v="13695"/>
    <n v="9277"/>
    <n v="6"/>
    <s v="Yes"/>
    <n v="17"/>
    <n v="3"/>
    <n v="3"/>
    <n v="0"/>
    <n v="24"/>
    <n v="2"/>
    <n v="2"/>
    <n v="19"/>
    <n v="7"/>
    <n v="3"/>
    <n v="8"/>
    <x v="1"/>
    <n v="123255"/>
    <x v="0"/>
    <n v="123255"/>
  </r>
  <r>
    <n v="56"/>
    <x v="1"/>
    <s v="Travel_Rarely"/>
    <n v="1369"/>
    <x v="1"/>
    <n v="23"/>
    <n v="3"/>
    <s v="Life Sciences"/>
    <n v="1373"/>
    <n v="4"/>
    <s v="Male"/>
    <n v="68"/>
    <n v="3"/>
    <n v="4"/>
    <x v="3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  <x v="1"/>
    <n v="120618"/>
    <x v="0"/>
    <n v="0"/>
  </r>
  <r>
    <n v="34"/>
    <x v="1"/>
    <s v="Non-Travel"/>
    <n v="999"/>
    <x v="1"/>
    <n v="26"/>
    <n v="1"/>
    <s v="Technical Degree"/>
    <n v="1374"/>
    <n v="1"/>
    <s v="Female"/>
    <n v="92"/>
    <n v="2"/>
    <n v="1"/>
    <x v="1"/>
    <n v="3"/>
    <s v="Divorced"/>
    <n v="2029"/>
    <n v="15891"/>
    <n v="1"/>
    <s v="No"/>
    <n v="20"/>
    <n v="4"/>
    <n v="3"/>
    <n v="3"/>
    <n v="5"/>
    <n v="2"/>
    <n v="3"/>
    <n v="5"/>
    <n v="4"/>
    <n v="0"/>
    <n v="0"/>
    <x v="0"/>
    <n v="18261"/>
    <x v="1"/>
    <n v="0"/>
  </r>
  <r>
    <n v="40"/>
    <x v="1"/>
    <s v="Travel_Rarely"/>
    <n v="1202"/>
    <x v="1"/>
    <n v="2"/>
    <n v="1"/>
    <s v="Medical"/>
    <n v="1375"/>
    <n v="2"/>
    <s v="Female"/>
    <n v="89"/>
    <n v="4"/>
    <n v="2"/>
    <x v="4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  <x v="1"/>
    <n v="57393"/>
    <x v="1"/>
    <n v="0"/>
  </r>
  <r>
    <n v="34"/>
    <x v="1"/>
    <s v="Travel_Rarely"/>
    <n v="285"/>
    <x v="1"/>
    <n v="29"/>
    <n v="3"/>
    <s v="Medical"/>
    <n v="1377"/>
    <n v="2"/>
    <s v="Male"/>
    <n v="86"/>
    <n v="3"/>
    <n v="2"/>
    <x v="2"/>
    <n v="3"/>
    <s v="Married"/>
    <n v="5429"/>
    <n v="17491"/>
    <n v="4"/>
    <s v="No"/>
    <n v="13"/>
    <n v="3"/>
    <n v="1"/>
    <n v="2"/>
    <n v="10"/>
    <n v="1"/>
    <n v="3"/>
    <n v="8"/>
    <n v="7"/>
    <n v="7"/>
    <n v="7"/>
    <x v="1"/>
    <n v="48861"/>
    <x v="1"/>
    <n v="0"/>
  </r>
  <r>
    <n v="31"/>
    <x v="0"/>
    <s v="Travel_Frequently"/>
    <n v="703"/>
    <x v="0"/>
    <n v="2"/>
    <n v="3"/>
    <s v="Life Sciences"/>
    <n v="1379"/>
    <n v="3"/>
    <s v="Female"/>
    <n v="90"/>
    <n v="2"/>
    <n v="1"/>
    <x v="6"/>
    <n v="4"/>
    <s v="Single"/>
    <n v="2785"/>
    <n v="11882"/>
    <n v="7"/>
    <s v="No"/>
    <n v="14"/>
    <n v="3"/>
    <n v="3"/>
    <n v="0"/>
    <n v="3"/>
    <n v="3"/>
    <n v="4"/>
    <n v="1"/>
    <n v="0"/>
    <n v="0"/>
    <n v="0"/>
    <x v="3"/>
    <n v="25065"/>
    <x v="1"/>
    <n v="25065"/>
  </r>
  <r>
    <n v="35"/>
    <x v="0"/>
    <s v="Travel_Frequently"/>
    <n v="662"/>
    <x v="0"/>
    <n v="18"/>
    <n v="4"/>
    <s v="Marketing"/>
    <n v="1380"/>
    <n v="4"/>
    <s v="Female"/>
    <n v="67"/>
    <n v="3"/>
    <n v="2"/>
    <x v="0"/>
    <n v="3"/>
    <s v="Married"/>
    <n v="4614"/>
    <n v="23288"/>
    <n v="0"/>
    <s v="Yes"/>
    <n v="18"/>
    <n v="3"/>
    <n v="3"/>
    <n v="1"/>
    <n v="5"/>
    <n v="0"/>
    <n v="2"/>
    <n v="4"/>
    <n v="2"/>
    <n v="3"/>
    <n v="2"/>
    <x v="0"/>
    <n v="41526"/>
    <x v="0"/>
    <n v="41526"/>
  </r>
  <r>
    <n v="38"/>
    <x v="1"/>
    <s v="Travel_Frequently"/>
    <n v="693"/>
    <x v="1"/>
    <n v="7"/>
    <n v="3"/>
    <s v="Life Sciences"/>
    <n v="1382"/>
    <n v="4"/>
    <s v="Male"/>
    <n v="57"/>
    <n v="4"/>
    <n v="1"/>
    <x v="1"/>
    <n v="3"/>
    <s v="Divorced"/>
    <n v="2610"/>
    <n v="15748"/>
    <n v="1"/>
    <s v="No"/>
    <n v="11"/>
    <n v="3"/>
    <n v="4"/>
    <n v="3"/>
    <n v="4"/>
    <n v="2"/>
    <n v="3"/>
    <n v="4"/>
    <n v="2"/>
    <n v="0"/>
    <n v="3"/>
    <x v="0"/>
    <n v="23490"/>
    <x v="1"/>
    <n v="0"/>
  </r>
  <r>
    <n v="34"/>
    <x v="1"/>
    <s v="Travel_Rarely"/>
    <n v="404"/>
    <x v="1"/>
    <n v="2"/>
    <n v="4"/>
    <s v="Technical Degree"/>
    <n v="1383"/>
    <n v="3"/>
    <s v="Female"/>
    <n v="98"/>
    <n v="3"/>
    <n v="2"/>
    <x v="4"/>
    <n v="4"/>
    <s v="Single"/>
    <n v="6687"/>
    <n v="6163"/>
    <n v="1"/>
    <s v="No"/>
    <n v="11"/>
    <n v="3"/>
    <n v="4"/>
    <n v="0"/>
    <n v="14"/>
    <n v="2"/>
    <n v="4"/>
    <n v="14"/>
    <n v="11"/>
    <n v="4"/>
    <n v="11"/>
    <x v="1"/>
    <n v="60183"/>
    <x v="1"/>
    <n v="0"/>
  </r>
  <r>
    <n v="28"/>
    <x v="1"/>
    <s v="Travel_Rarely"/>
    <n v="736"/>
    <x v="0"/>
    <n v="26"/>
    <n v="3"/>
    <s v="Life Sciences"/>
    <n v="1387"/>
    <n v="3"/>
    <s v="Male"/>
    <n v="48"/>
    <n v="2"/>
    <n v="2"/>
    <x v="0"/>
    <n v="1"/>
    <s v="Married"/>
    <n v="4724"/>
    <n v="24232"/>
    <n v="1"/>
    <s v="No"/>
    <n v="11"/>
    <n v="3"/>
    <n v="3"/>
    <n v="1"/>
    <n v="5"/>
    <n v="0"/>
    <n v="3"/>
    <n v="5"/>
    <n v="3"/>
    <n v="0"/>
    <n v="4"/>
    <x v="0"/>
    <n v="42516"/>
    <x v="0"/>
    <n v="0"/>
  </r>
  <r>
    <n v="31"/>
    <x v="0"/>
    <s v="Travel_Rarely"/>
    <n v="330"/>
    <x v="1"/>
    <n v="22"/>
    <n v="4"/>
    <s v="Medical"/>
    <n v="1389"/>
    <n v="4"/>
    <s v="Male"/>
    <n v="98"/>
    <n v="3"/>
    <n v="2"/>
    <x v="3"/>
    <n v="3"/>
    <s v="Married"/>
    <n v="6179"/>
    <n v="21057"/>
    <n v="1"/>
    <s v="Yes"/>
    <n v="15"/>
    <n v="3"/>
    <n v="4"/>
    <n v="2"/>
    <n v="10"/>
    <n v="3"/>
    <n v="2"/>
    <n v="10"/>
    <n v="2"/>
    <n v="6"/>
    <n v="7"/>
    <x v="1"/>
    <n v="55611"/>
    <x v="0"/>
    <n v="55611"/>
  </r>
  <r>
    <n v="39"/>
    <x v="1"/>
    <s v="Travel_Rarely"/>
    <n v="1498"/>
    <x v="0"/>
    <n v="21"/>
    <n v="4"/>
    <s v="Life Sciences"/>
    <n v="1390"/>
    <n v="1"/>
    <s v="Male"/>
    <n v="44"/>
    <n v="2"/>
    <n v="2"/>
    <x v="0"/>
    <n v="4"/>
    <s v="Married"/>
    <n v="6120"/>
    <n v="3567"/>
    <n v="3"/>
    <s v="Yes"/>
    <n v="12"/>
    <n v="3"/>
    <n v="4"/>
    <n v="2"/>
    <n v="8"/>
    <n v="2"/>
    <n v="4"/>
    <n v="5"/>
    <n v="4"/>
    <n v="1"/>
    <n v="4"/>
    <x v="0"/>
    <n v="55080"/>
    <x v="0"/>
    <n v="0"/>
  </r>
  <r>
    <n v="51"/>
    <x v="1"/>
    <s v="Travel_Frequently"/>
    <n v="541"/>
    <x v="0"/>
    <n v="2"/>
    <n v="3"/>
    <s v="Marketing"/>
    <n v="1391"/>
    <n v="2"/>
    <s v="Male"/>
    <n v="52"/>
    <n v="3"/>
    <n v="3"/>
    <x v="0"/>
    <n v="2"/>
    <s v="Married"/>
    <n v="10596"/>
    <n v="15395"/>
    <n v="2"/>
    <s v="No"/>
    <n v="11"/>
    <n v="3"/>
    <n v="2"/>
    <n v="0"/>
    <n v="14"/>
    <n v="5"/>
    <n v="3"/>
    <n v="4"/>
    <n v="2"/>
    <n v="3"/>
    <n v="2"/>
    <x v="0"/>
    <n v="95364"/>
    <x v="0"/>
    <n v="0"/>
  </r>
  <r>
    <n v="41"/>
    <x v="1"/>
    <s v="Travel_Frequently"/>
    <n v="1200"/>
    <x v="1"/>
    <n v="22"/>
    <n v="3"/>
    <s v="Life Sciences"/>
    <n v="1392"/>
    <n v="4"/>
    <s v="Female"/>
    <n v="75"/>
    <n v="3"/>
    <n v="2"/>
    <x v="1"/>
    <n v="4"/>
    <s v="Divorced"/>
    <n v="5467"/>
    <n v="13953"/>
    <n v="3"/>
    <s v="Yes"/>
    <n v="14"/>
    <n v="3"/>
    <n v="1"/>
    <n v="2"/>
    <n v="12"/>
    <n v="4"/>
    <n v="2"/>
    <n v="6"/>
    <n v="2"/>
    <n v="3"/>
    <n v="3"/>
    <x v="0"/>
    <n v="49203"/>
    <x v="0"/>
    <n v="0"/>
  </r>
  <r>
    <n v="37"/>
    <x v="1"/>
    <s v="Travel_Rarely"/>
    <n v="1439"/>
    <x v="1"/>
    <n v="4"/>
    <n v="1"/>
    <s v="Life Sciences"/>
    <n v="1394"/>
    <n v="3"/>
    <s v="Male"/>
    <n v="54"/>
    <n v="3"/>
    <n v="1"/>
    <x v="1"/>
    <n v="3"/>
    <s v="Married"/>
    <n v="2996"/>
    <n v="5182"/>
    <n v="7"/>
    <s v="Yes"/>
    <n v="15"/>
    <n v="3"/>
    <n v="4"/>
    <n v="0"/>
    <n v="8"/>
    <n v="2"/>
    <n v="3"/>
    <n v="6"/>
    <n v="4"/>
    <n v="1"/>
    <n v="3"/>
    <x v="0"/>
    <n v="26964"/>
    <x v="0"/>
    <n v="0"/>
  </r>
  <r>
    <n v="33"/>
    <x v="1"/>
    <s v="Travel_Frequently"/>
    <n v="1111"/>
    <x v="0"/>
    <n v="5"/>
    <n v="1"/>
    <s v="Life Sciences"/>
    <n v="1395"/>
    <n v="2"/>
    <s v="Male"/>
    <n v="61"/>
    <n v="3"/>
    <n v="2"/>
    <x v="0"/>
    <n v="4"/>
    <s v="Married"/>
    <n v="9998"/>
    <n v="19293"/>
    <n v="6"/>
    <s v="No"/>
    <n v="13"/>
    <n v="3"/>
    <n v="1"/>
    <n v="0"/>
    <n v="8"/>
    <n v="2"/>
    <n v="4"/>
    <n v="5"/>
    <n v="4"/>
    <n v="1"/>
    <n v="2"/>
    <x v="0"/>
    <n v="89982"/>
    <x v="1"/>
    <n v="0"/>
  </r>
  <r>
    <n v="32"/>
    <x v="1"/>
    <s v="Travel_Rarely"/>
    <n v="499"/>
    <x v="0"/>
    <n v="2"/>
    <n v="1"/>
    <s v="Marketing"/>
    <n v="1396"/>
    <n v="3"/>
    <s v="Male"/>
    <n v="36"/>
    <n v="3"/>
    <n v="2"/>
    <x v="0"/>
    <n v="2"/>
    <s v="Married"/>
    <n v="4078"/>
    <n v="20497"/>
    <n v="0"/>
    <s v="Yes"/>
    <n v="13"/>
    <n v="3"/>
    <n v="1"/>
    <n v="3"/>
    <n v="4"/>
    <n v="3"/>
    <n v="2"/>
    <n v="3"/>
    <n v="2"/>
    <n v="1"/>
    <n v="2"/>
    <x v="3"/>
    <n v="36702"/>
    <x v="2"/>
    <n v="0"/>
  </r>
  <r>
    <n v="39"/>
    <x v="1"/>
    <s v="Non-Travel"/>
    <n v="1485"/>
    <x v="1"/>
    <n v="25"/>
    <n v="2"/>
    <s v="Life Sciences"/>
    <n v="1397"/>
    <n v="3"/>
    <s v="Male"/>
    <n v="71"/>
    <n v="3"/>
    <n v="3"/>
    <x v="4"/>
    <n v="3"/>
    <s v="Married"/>
    <n v="10920"/>
    <n v="3449"/>
    <n v="3"/>
    <s v="No"/>
    <n v="21"/>
    <n v="4"/>
    <n v="2"/>
    <n v="1"/>
    <n v="13"/>
    <n v="2"/>
    <n v="3"/>
    <n v="6"/>
    <n v="4"/>
    <n v="0"/>
    <n v="5"/>
    <x v="0"/>
    <n v="98280"/>
    <x v="1"/>
    <n v="0"/>
  </r>
  <r>
    <n v="25"/>
    <x v="1"/>
    <s v="Travel_Rarely"/>
    <n v="1372"/>
    <x v="0"/>
    <n v="18"/>
    <n v="1"/>
    <s v="Life Sciences"/>
    <n v="1399"/>
    <n v="1"/>
    <s v="Male"/>
    <n v="93"/>
    <n v="4"/>
    <n v="2"/>
    <x v="0"/>
    <n v="3"/>
    <s v="Married"/>
    <n v="6232"/>
    <n v="12477"/>
    <n v="2"/>
    <s v="No"/>
    <n v="11"/>
    <n v="3"/>
    <n v="2"/>
    <n v="0"/>
    <n v="6"/>
    <n v="3"/>
    <n v="2"/>
    <n v="3"/>
    <n v="2"/>
    <n v="1"/>
    <n v="2"/>
    <x v="3"/>
    <n v="56088"/>
    <x v="1"/>
    <n v="0"/>
  </r>
  <r>
    <n v="52"/>
    <x v="1"/>
    <s v="Travel_Frequently"/>
    <n v="322"/>
    <x v="1"/>
    <n v="28"/>
    <n v="2"/>
    <s v="Medical"/>
    <n v="1401"/>
    <n v="4"/>
    <s v="Female"/>
    <n v="59"/>
    <n v="4"/>
    <n v="4"/>
    <x v="3"/>
    <n v="3"/>
    <s v="Married"/>
    <n v="13247"/>
    <n v="9731"/>
    <n v="2"/>
    <s v="Yes"/>
    <n v="11"/>
    <n v="3"/>
    <n v="2"/>
    <n v="1"/>
    <n v="24"/>
    <n v="3"/>
    <n v="2"/>
    <n v="5"/>
    <n v="3"/>
    <n v="0"/>
    <n v="2"/>
    <x v="0"/>
    <n v="119223"/>
    <x v="0"/>
    <n v="0"/>
  </r>
  <r>
    <n v="43"/>
    <x v="1"/>
    <s v="Travel_Rarely"/>
    <n v="930"/>
    <x v="1"/>
    <n v="6"/>
    <n v="3"/>
    <s v="Medical"/>
    <n v="1402"/>
    <n v="1"/>
    <s v="Female"/>
    <n v="73"/>
    <n v="2"/>
    <n v="2"/>
    <x v="1"/>
    <n v="3"/>
    <s v="Single"/>
    <n v="4081"/>
    <n v="20003"/>
    <n v="1"/>
    <s v="Yes"/>
    <n v="14"/>
    <n v="3"/>
    <n v="1"/>
    <n v="0"/>
    <n v="20"/>
    <n v="3"/>
    <n v="1"/>
    <n v="20"/>
    <n v="7"/>
    <n v="1"/>
    <n v="8"/>
    <x v="1"/>
    <n v="36729"/>
    <x v="0"/>
    <n v="0"/>
  </r>
  <r>
    <n v="27"/>
    <x v="1"/>
    <s v="Travel_Rarely"/>
    <n v="205"/>
    <x v="0"/>
    <n v="10"/>
    <n v="3"/>
    <s v="Marketing"/>
    <n v="1403"/>
    <n v="4"/>
    <s v="Female"/>
    <n v="98"/>
    <n v="2"/>
    <n v="2"/>
    <x v="0"/>
    <n v="4"/>
    <s v="Married"/>
    <n v="5769"/>
    <n v="7100"/>
    <n v="1"/>
    <s v="Yes"/>
    <n v="11"/>
    <n v="3"/>
    <n v="4"/>
    <n v="0"/>
    <n v="6"/>
    <n v="3"/>
    <n v="3"/>
    <n v="6"/>
    <n v="2"/>
    <n v="4"/>
    <n v="4"/>
    <x v="0"/>
    <n v="51921"/>
    <x v="0"/>
    <n v="0"/>
  </r>
  <r>
    <n v="27"/>
    <x v="0"/>
    <s v="Travel_Rarely"/>
    <n v="135"/>
    <x v="1"/>
    <n v="17"/>
    <n v="4"/>
    <s v="Life Sciences"/>
    <n v="1405"/>
    <n v="4"/>
    <s v="Female"/>
    <n v="51"/>
    <n v="3"/>
    <n v="1"/>
    <x v="1"/>
    <n v="3"/>
    <s v="Single"/>
    <n v="2394"/>
    <n v="25681"/>
    <n v="1"/>
    <s v="Yes"/>
    <n v="13"/>
    <n v="3"/>
    <n v="4"/>
    <n v="0"/>
    <n v="8"/>
    <n v="2"/>
    <n v="3"/>
    <n v="8"/>
    <n v="2"/>
    <n v="7"/>
    <n v="7"/>
    <x v="1"/>
    <n v="21546"/>
    <x v="0"/>
    <n v="21546"/>
  </r>
  <r>
    <n v="26"/>
    <x v="1"/>
    <s v="Travel_Rarely"/>
    <n v="683"/>
    <x v="1"/>
    <n v="2"/>
    <n v="1"/>
    <s v="Medical"/>
    <n v="1407"/>
    <n v="1"/>
    <s v="Male"/>
    <n v="36"/>
    <n v="2"/>
    <n v="1"/>
    <x v="1"/>
    <n v="4"/>
    <s v="Single"/>
    <n v="3904"/>
    <n v="4050"/>
    <n v="0"/>
    <s v="No"/>
    <n v="12"/>
    <n v="3"/>
    <n v="4"/>
    <n v="0"/>
    <n v="5"/>
    <n v="2"/>
    <n v="3"/>
    <n v="4"/>
    <n v="3"/>
    <n v="1"/>
    <n v="1"/>
    <x v="0"/>
    <n v="35136"/>
    <x v="1"/>
    <n v="0"/>
  </r>
  <r>
    <n v="42"/>
    <x v="1"/>
    <s v="Travel_Rarely"/>
    <n v="1147"/>
    <x v="2"/>
    <n v="10"/>
    <n v="3"/>
    <s v="Human Resources"/>
    <n v="1408"/>
    <n v="3"/>
    <s v="Female"/>
    <n v="31"/>
    <n v="3"/>
    <n v="4"/>
    <x v="5"/>
    <n v="1"/>
    <s v="Married"/>
    <n v="16799"/>
    <n v="16616"/>
    <n v="0"/>
    <s v="No"/>
    <n v="14"/>
    <n v="3"/>
    <n v="3"/>
    <n v="1"/>
    <n v="21"/>
    <n v="5"/>
    <n v="3"/>
    <n v="20"/>
    <n v="7"/>
    <n v="0"/>
    <n v="9"/>
    <x v="1"/>
    <n v="151191"/>
    <x v="0"/>
    <n v="0"/>
  </r>
  <r>
    <n v="52"/>
    <x v="1"/>
    <s v="Travel_Rarely"/>
    <n v="258"/>
    <x v="1"/>
    <n v="8"/>
    <n v="4"/>
    <s v="Other"/>
    <n v="1409"/>
    <n v="3"/>
    <s v="Female"/>
    <n v="54"/>
    <n v="3"/>
    <n v="1"/>
    <x v="2"/>
    <n v="1"/>
    <s v="Married"/>
    <n v="2950"/>
    <n v="17363"/>
    <n v="9"/>
    <s v="No"/>
    <n v="13"/>
    <n v="3"/>
    <n v="3"/>
    <n v="0"/>
    <n v="12"/>
    <n v="2"/>
    <n v="1"/>
    <n v="5"/>
    <n v="4"/>
    <n v="0"/>
    <n v="4"/>
    <x v="0"/>
    <n v="26550"/>
    <x v="0"/>
    <n v="0"/>
  </r>
  <r>
    <n v="37"/>
    <x v="1"/>
    <s v="Travel_Rarely"/>
    <n v="1462"/>
    <x v="1"/>
    <n v="11"/>
    <n v="3"/>
    <s v="Medical"/>
    <n v="1411"/>
    <n v="1"/>
    <s v="Female"/>
    <n v="94"/>
    <n v="3"/>
    <n v="1"/>
    <x v="2"/>
    <n v="3"/>
    <s v="Single"/>
    <n v="3629"/>
    <n v="19106"/>
    <n v="4"/>
    <s v="No"/>
    <n v="18"/>
    <n v="3"/>
    <n v="1"/>
    <n v="0"/>
    <n v="8"/>
    <n v="6"/>
    <n v="3"/>
    <n v="3"/>
    <n v="2"/>
    <n v="0"/>
    <n v="2"/>
    <x v="3"/>
    <n v="32661"/>
    <x v="1"/>
    <n v="0"/>
  </r>
  <r>
    <n v="35"/>
    <x v="1"/>
    <s v="Travel_Frequently"/>
    <n v="200"/>
    <x v="1"/>
    <n v="18"/>
    <n v="2"/>
    <s v="Life Sciences"/>
    <n v="1412"/>
    <n v="3"/>
    <s v="Male"/>
    <n v="60"/>
    <n v="3"/>
    <n v="3"/>
    <x v="3"/>
    <n v="4"/>
    <s v="Single"/>
    <n v="9362"/>
    <n v="19944"/>
    <n v="2"/>
    <s v="No"/>
    <n v="11"/>
    <n v="3"/>
    <n v="3"/>
    <n v="0"/>
    <n v="10"/>
    <n v="2"/>
    <n v="3"/>
    <n v="2"/>
    <n v="2"/>
    <n v="2"/>
    <n v="2"/>
    <x v="3"/>
    <n v="84258"/>
    <x v="1"/>
    <n v="0"/>
  </r>
  <r>
    <n v="25"/>
    <x v="1"/>
    <s v="Travel_Rarely"/>
    <n v="949"/>
    <x v="1"/>
    <n v="1"/>
    <n v="3"/>
    <s v="Technical Degree"/>
    <n v="1415"/>
    <n v="1"/>
    <s v="Male"/>
    <n v="81"/>
    <n v="3"/>
    <n v="1"/>
    <x v="2"/>
    <n v="4"/>
    <s v="Married"/>
    <n v="3229"/>
    <n v="4910"/>
    <n v="4"/>
    <s v="No"/>
    <n v="11"/>
    <n v="3"/>
    <n v="2"/>
    <n v="1"/>
    <n v="7"/>
    <n v="2"/>
    <n v="2"/>
    <n v="3"/>
    <n v="2"/>
    <n v="0"/>
    <n v="2"/>
    <x v="3"/>
    <n v="29061"/>
    <x v="1"/>
    <n v="0"/>
  </r>
  <r>
    <n v="26"/>
    <x v="1"/>
    <s v="Travel_Rarely"/>
    <n v="652"/>
    <x v="1"/>
    <n v="7"/>
    <n v="3"/>
    <s v="Other"/>
    <n v="1417"/>
    <n v="3"/>
    <s v="Male"/>
    <n v="100"/>
    <n v="4"/>
    <n v="1"/>
    <x v="2"/>
    <n v="1"/>
    <s v="Single"/>
    <n v="3578"/>
    <n v="23577"/>
    <n v="0"/>
    <s v="No"/>
    <n v="12"/>
    <n v="3"/>
    <n v="4"/>
    <n v="0"/>
    <n v="8"/>
    <n v="2"/>
    <n v="3"/>
    <n v="7"/>
    <n v="7"/>
    <n v="0"/>
    <n v="7"/>
    <x v="1"/>
    <n v="32202"/>
    <x v="0"/>
    <n v="0"/>
  </r>
  <r>
    <n v="29"/>
    <x v="1"/>
    <s v="Travel_Rarely"/>
    <n v="332"/>
    <x v="2"/>
    <n v="17"/>
    <n v="3"/>
    <s v="Other"/>
    <n v="1419"/>
    <n v="2"/>
    <s v="Male"/>
    <n v="51"/>
    <n v="2"/>
    <n v="3"/>
    <x v="8"/>
    <n v="1"/>
    <s v="Single"/>
    <n v="7988"/>
    <n v="9769"/>
    <n v="1"/>
    <s v="No"/>
    <n v="13"/>
    <n v="3"/>
    <n v="1"/>
    <n v="0"/>
    <n v="10"/>
    <n v="3"/>
    <n v="2"/>
    <n v="10"/>
    <n v="9"/>
    <n v="0"/>
    <n v="9"/>
    <x v="1"/>
    <n v="71892"/>
    <x v="0"/>
    <n v="0"/>
  </r>
  <r>
    <n v="49"/>
    <x v="0"/>
    <s v="Travel_Frequently"/>
    <n v="1475"/>
    <x v="1"/>
    <n v="28"/>
    <n v="2"/>
    <s v="Life Sciences"/>
    <n v="1420"/>
    <n v="1"/>
    <s v="Male"/>
    <n v="97"/>
    <n v="2"/>
    <n v="2"/>
    <x v="2"/>
    <n v="1"/>
    <s v="Single"/>
    <n v="4284"/>
    <n v="22710"/>
    <n v="3"/>
    <s v="No"/>
    <n v="20"/>
    <n v="4"/>
    <n v="1"/>
    <n v="0"/>
    <n v="20"/>
    <n v="2"/>
    <n v="3"/>
    <n v="4"/>
    <n v="3"/>
    <n v="1"/>
    <n v="3"/>
    <x v="0"/>
    <n v="38556"/>
    <x v="0"/>
    <n v="38556"/>
  </r>
  <r>
    <n v="29"/>
    <x v="0"/>
    <s v="Travel_Frequently"/>
    <n v="337"/>
    <x v="1"/>
    <n v="14"/>
    <n v="1"/>
    <s v="Other"/>
    <n v="1421"/>
    <n v="3"/>
    <s v="Female"/>
    <n v="84"/>
    <n v="3"/>
    <n v="3"/>
    <x v="4"/>
    <n v="4"/>
    <s v="Single"/>
    <n v="7553"/>
    <n v="22930"/>
    <n v="0"/>
    <s v="Yes"/>
    <n v="12"/>
    <n v="3"/>
    <n v="1"/>
    <n v="0"/>
    <n v="9"/>
    <n v="1"/>
    <n v="3"/>
    <n v="8"/>
    <n v="7"/>
    <n v="7"/>
    <n v="7"/>
    <x v="1"/>
    <n v="67977"/>
    <x v="0"/>
    <n v="67977"/>
  </r>
  <r>
    <n v="54"/>
    <x v="1"/>
    <s v="Travel_Rarely"/>
    <n v="971"/>
    <x v="1"/>
    <n v="1"/>
    <n v="3"/>
    <s v="Medical"/>
    <n v="1422"/>
    <n v="4"/>
    <s v="Female"/>
    <n v="54"/>
    <n v="3"/>
    <n v="4"/>
    <x v="7"/>
    <n v="4"/>
    <s v="Single"/>
    <n v="17328"/>
    <n v="5652"/>
    <n v="6"/>
    <s v="No"/>
    <n v="19"/>
    <n v="3"/>
    <n v="4"/>
    <n v="0"/>
    <n v="29"/>
    <n v="3"/>
    <n v="2"/>
    <n v="20"/>
    <n v="7"/>
    <n v="12"/>
    <n v="7"/>
    <x v="1"/>
    <n v="155952"/>
    <x v="1"/>
    <n v="0"/>
  </r>
  <r>
    <n v="58"/>
    <x v="1"/>
    <s v="Travel_Rarely"/>
    <n v="1055"/>
    <x v="1"/>
    <n v="1"/>
    <n v="3"/>
    <s v="Medical"/>
    <n v="1423"/>
    <n v="4"/>
    <s v="Female"/>
    <n v="76"/>
    <n v="3"/>
    <n v="5"/>
    <x v="7"/>
    <n v="1"/>
    <s v="Married"/>
    <n v="19701"/>
    <n v="22456"/>
    <n v="3"/>
    <s v="Yes"/>
    <n v="21"/>
    <n v="4"/>
    <n v="3"/>
    <n v="1"/>
    <n v="32"/>
    <n v="3"/>
    <n v="3"/>
    <n v="9"/>
    <n v="8"/>
    <n v="1"/>
    <n v="5"/>
    <x v="1"/>
    <n v="177309"/>
    <x v="0"/>
    <n v="0"/>
  </r>
  <r>
    <n v="55"/>
    <x v="1"/>
    <s v="Travel_Rarely"/>
    <n v="1136"/>
    <x v="1"/>
    <n v="1"/>
    <n v="4"/>
    <s v="Medical"/>
    <n v="1424"/>
    <n v="2"/>
    <s v="Male"/>
    <n v="81"/>
    <n v="4"/>
    <n v="4"/>
    <x v="7"/>
    <n v="4"/>
    <s v="Divorced"/>
    <n v="14732"/>
    <n v="12414"/>
    <n v="2"/>
    <s v="No"/>
    <n v="13"/>
    <n v="3"/>
    <n v="4"/>
    <n v="2"/>
    <n v="31"/>
    <n v="4"/>
    <n v="4"/>
    <n v="7"/>
    <n v="7"/>
    <n v="0"/>
    <n v="0"/>
    <x v="1"/>
    <n v="132588"/>
    <x v="1"/>
    <n v="0"/>
  </r>
  <r>
    <n v="36"/>
    <x v="1"/>
    <s v="Travel_Rarely"/>
    <n v="1174"/>
    <x v="0"/>
    <n v="3"/>
    <n v="4"/>
    <s v="Marketing"/>
    <n v="1425"/>
    <n v="1"/>
    <s v="Female"/>
    <n v="99"/>
    <n v="3"/>
    <n v="2"/>
    <x v="0"/>
    <n v="2"/>
    <s v="Single"/>
    <n v="9278"/>
    <n v="20763"/>
    <n v="3"/>
    <s v="Yes"/>
    <n v="16"/>
    <n v="3"/>
    <n v="4"/>
    <n v="0"/>
    <n v="15"/>
    <n v="3"/>
    <n v="3"/>
    <n v="5"/>
    <n v="4"/>
    <n v="0"/>
    <n v="1"/>
    <x v="0"/>
    <n v="83502"/>
    <x v="0"/>
    <n v="0"/>
  </r>
  <r>
    <n v="31"/>
    <x v="0"/>
    <s v="Travel_Frequently"/>
    <n v="667"/>
    <x v="0"/>
    <n v="1"/>
    <n v="4"/>
    <s v="Life Sciences"/>
    <n v="1427"/>
    <n v="2"/>
    <s v="Female"/>
    <n v="50"/>
    <n v="1"/>
    <n v="1"/>
    <x v="6"/>
    <n v="3"/>
    <s v="Single"/>
    <n v="1359"/>
    <n v="16154"/>
    <n v="1"/>
    <s v="No"/>
    <n v="12"/>
    <n v="3"/>
    <n v="2"/>
    <n v="0"/>
    <n v="1"/>
    <n v="3"/>
    <n v="3"/>
    <n v="1"/>
    <n v="0"/>
    <n v="0"/>
    <n v="0"/>
    <x v="3"/>
    <n v="12231"/>
    <x v="1"/>
    <n v="12231"/>
  </r>
  <r>
    <n v="30"/>
    <x v="1"/>
    <s v="Travel_Rarely"/>
    <n v="855"/>
    <x v="0"/>
    <n v="7"/>
    <n v="4"/>
    <s v="Marketing"/>
    <n v="1428"/>
    <n v="4"/>
    <s v="Female"/>
    <n v="73"/>
    <n v="3"/>
    <n v="2"/>
    <x v="0"/>
    <n v="1"/>
    <s v="Divorced"/>
    <n v="4779"/>
    <n v="12761"/>
    <n v="7"/>
    <s v="No"/>
    <n v="14"/>
    <n v="3"/>
    <n v="2"/>
    <n v="2"/>
    <n v="8"/>
    <n v="3"/>
    <n v="3"/>
    <n v="3"/>
    <n v="2"/>
    <n v="0"/>
    <n v="2"/>
    <x v="3"/>
    <n v="43011"/>
    <x v="0"/>
    <n v="0"/>
  </r>
  <r>
    <n v="31"/>
    <x v="1"/>
    <s v="Travel_Rarely"/>
    <n v="182"/>
    <x v="1"/>
    <n v="8"/>
    <n v="5"/>
    <s v="Life Sciences"/>
    <n v="1430"/>
    <n v="1"/>
    <s v="Female"/>
    <n v="93"/>
    <n v="3"/>
    <n v="4"/>
    <x v="7"/>
    <n v="2"/>
    <s v="Single"/>
    <n v="16422"/>
    <n v="8847"/>
    <n v="3"/>
    <s v="No"/>
    <n v="11"/>
    <n v="3"/>
    <n v="3"/>
    <n v="0"/>
    <n v="9"/>
    <n v="3"/>
    <n v="4"/>
    <n v="3"/>
    <n v="2"/>
    <n v="1"/>
    <n v="0"/>
    <x v="3"/>
    <n v="147798"/>
    <x v="0"/>
    <n v="0"/>
  </r>
  <r>
    <n v="34"/>
    <x v="1"/>
    <s v="Travel_Frequently"/>
    <n v="560"/>
    <x v="1"/>
    <n v="1"/>
    <n v="4"/>
    <s v="Other"/>
    <n v="1431"/>
    <n v="4"/>
    <s v="Male"/>
    <n v="91"/>
    <n v="3"/>
    <n v="1"/>
    <x v="1"/>
    <n v="1"/>
    <s v="Divorced"/>
    <n v="2996"/>
    <n v="20284"/>
    <n v="5"/>
    <s v="No"/>
    <n v="14"/>
    <n v="3"/>
    <n v="3"/>
    <n v="2"/>
    <n v="10"/>
    <n v="2"/>
    <n v="3"/>
    <n v="4"/>
    <n v="3"/>
    <n v="1"/>
    <n v="3"/>
    <x v="0"/>
    <n v="26964"/>
    <x v="0"/>
    <n v="0"/>
  </r>
  <r>
    <n v="31"/>
    <x v="0"/>
    <s v="Travel_Rarely"/>
    <n v="202"/>
    <x v="1"/>
    <n v="8"/>
    <n v="3"/>
    <s v="Life Sciences"/>
    <n v="1433"/>
    <n v="1"/>
    <s v="Female"/>
    <n v="34"/>
    <n v="2"/>
    <n v="1"/>
    <x v="1"/>
    <n v="2"/>
    <s v="Single"/>
    <n v="1261"/>
    <n v="22262"/>
    <n v="1"/>
    <s v="No"/>
    <n v="12"/>
    <n v="3"/>
    <n v="3"/>
    <n v="0"/>
    <n v="1"/>
    <n v="3"/>
    <n v="4"/>
    <n v="1"/>
    <n v="0"/>
    <n v="0"/>
    <n v="0"/>
    <x v="3"/>
    <n v="11349"/>
    <x v="0"/>
    <n v="11349"/>
  </r>
  <r>
    <n v="27"/>
    <x v="1"/>
    <s v="Travel_Rarely"/>
    <n v="1377"/>
    <x v="1"/>
    <n v="11"/>
    <n v="1"/>
    <s v="Life Sciences"/>
    <n v="1434"/>
    <n v="2"/>
    <s v="Male"/>
    <n v="91"/>
    <n v="3"/>
    <n v="1"/>
    <x v="2"/>
    <n v="1"/>
    <s v="Married"/>
    <n v="2099"/>
    <n v="7679"/>
    <n v="0"/>
    <s v="No"/>
    <n v="14"/>
    <n v="3"/>
    <n v="2"/>
    <n v="0"/>
    <n v="6"/>
    <n v="3"/>
    <n v="4"/>
    <n v="5"/>
    <n v="0"/>
    <n v="1"/>
    <n v="4"/>
    <x v="0"/>
    <n v="18891"/>
    <x v="0"/>
    <n v="0"/>
  </r>
  <r>
    <n v="36"/>
    <x v="1"/>
    <s v="Travel_Rarely"/>
    <n v="172"/>
    <x v="1"/>
    <n v="4"/>
    <n v="4"/>
    <s v="Life Sciences"/>
    <n v="1435"/>
    <n v="1"/>
    <s v="Male"/>
    <n v="37"/>
    <n v="2"/>
    <n v="2"/>
    <x v="2"/>
    <n v="4"/>
    <s v="Single"/>
    <n v="5810"/>
    <n v="22604"/>
    <n v="1"/>
    <s v="No"/>
    <n v="16"/>
    <n v="3"/>
    <n v="3"/>
    <n v="0"/>
    <n v="10"/>
    <n v="2"/>
    <n v="2"/>
    <n v="10"/>
    <n v="4"/>
    <n v="1"/>
    <n v="8"/>
    <x v="1"/>
    <n v="52290"/>
    <x v="1"/>
    <n v="0"/>
  </r>
  <r>
    <n v="36"/>
    <x v="1"/>
    <s v="Travel_Rarely"/>
    <n v="329"/>
    <x v="0"/>
    <n v="16"/>
    <n v="4"/>
    <s v="Marketing"/>
    <n v="1436"/>
    <n v="3"/>
    <s v="Female"/>
    <n v="98"/>
    <n v="2"/>
    <n v="2"/>
    <x v="0"/>
    <n v="1"/>
    <s v="Married"/>
    <n v="5647"/>
    <n v="13494"/>
    <n v="4"/>
    <s v="No"/>
    <n v="13"/>
    <n v="3"/>
    <n v="1"/>
    <n v="2"/>
    <n v="11"/>
    <n v="3"/>
    <n v="2"/>
    <n v="3"/>
    <n v="2"/>
    <n v="0"/>
    <n v="2"/>
    <x v="3"/>
    <n v="50823"/>
    <x v="0"/>
    <n v="0"/>
  </r>
  <r>
    <n v="47"/>
    <x v="1"/>
    <s v="Travel_Rarely"/>
    <n v="465"/>
    <x v="1"/>
    <n v="1"/>
    <n v="3"/>
    <s v="Technical Degree"/>
    <n v="1438"/>
    <n v="1"/>
    <s v="Male"/>
    <n v="74"/>
    <n v="3"/>
    <n v="1"/>
    <x v="1"/>
    <n v="4"/>
    <s v="Married"/>
    <n v="3420"/>
    <n v="10205"/>
    <n v="7"/>
    <s v="No"/>
    <n v="12"/>
    <n v="3"/>
    <n v="3"/>
    <n v="1"/>
    <n v="17"/>
    <n v="2"/>
    <n v="2"/>
    <n v="6"/>
    <n v="5"/>
    <n v="1"/>
    <n v="2"/>
    <x v="0"/>
    <n v="30780"/>
    <x v="1"/>
    <n v="0"/>
  </r>
  <r>
    <n v="25"/>
    <x v="0"/>
    <s v="Travel_Rarely"/>
    <n v="383"/>
    <x v="0"/>
    <n v="9"/>
    <n v="2"/>
    <s v="Life Sciences"/>
    <n v="1439"/>
    <n v="1"/>
    <s v="Male"/>
    <n v="68"/>
    <n v="2"/>
    <n v="1"/>
    <x v="6"/>
    <n v="1"/>
    <s v="Married"/>
    <n v="4400"/>
    <n v="15182"/>
    <n v="3"/>
    <s v="No"/>
    <n v="12"/>
    <n v="3"/>
    <n v="1"/>
    <n v="0"/>
    <n v="6"/>
    <n v="2"/>
    <n v="3"/>
    <n v="3"/>
    <n v="2"/>
    <n v="2"/>
    <n v="2"/>
    <x v="3"/>
    <n v="39600"/>
    <x v="0"/>
    <n v="39600"/>
  </r>
  <r>
    <n v="37"/>
    <x v="1"/>
    <s v="Non-Travel"/>
    <n v="1413"/>
    <x v="1"/>
    <n v="5"/>
    <n v="2"/>
    <s v="Technical Degree"/>
    <n v="1440"/>
    <n v="3"/>
    <s v="Male"/>
    <n v="84"/>
    <n v="4"/>
    <n v="1"/>
    <x v="2"/>
    <n v="3"/>
    <s v="Single"/>
    <n v="3500"/>
    <n v="25470"/>
    <n v="0"/>
    <s v="No"/>
    <n v="14"/>
    <n v="3"/>
    <n v="1"/>
    <n v="0"/>
    <n v="7"/>
    <n v="2"/>
    <n v="1"/>
    <n v="6"/>
    <n v="5"/>
    <n v="1"/>
    <n v="3"/>
    <x v="0"/>
    <n v="31500"/>
    <x v="1"/>
    <n v="0"/>
  </r>
  <r>
    <n v="56"/>
    <x v="1"/>
    <s v="Travel_Rarely"/>
    <n v="1255"/>
    <x v="1"/>
    <n v="1"/>
    <n v="2"/>
    <s v="Life Sciences"/>
    <n v="1441"/>
    <n v="1"/>
    <s v="Female"/>
    <n v="90"/>
    <n v="3"/>
    <n v="1"/>
    <x v="1"/>
    <n v="1"/>
    <s v="Married"/>
    <n v="2066"/>
    <n v="10494"/>
    <n v="2"/>
    <s v="No"/>
    <n v="22"/>
    <n v="4"/>
    <n v="4"/>
    <n v="1"/>
    <n v="5"/>
    <n v="3"/>
    <n v="4"/>
    <n v="3"/>
    <n v="2"/>
    <n v="1"/>
    <n v="0"/>
    <x v="3"/>
    <n v="18594"/>
    <x v="0"/>
    <n v="0"/>
  </r>
  <r>
    <n v="47"/>
    <x v="1"/>
    <s v="Travel_Rarely"/>
    <n v="359"/>
    <x v="1"/>
    <n v="2"/>
    <n v="4"/>
    <s v="Medical"/>
    <n v="1443"/>
    <n v="1"/>
    <s v="Female"/>
    <n v="82"/>
    <n v="3"/>
    <n v="4"/>
    <x v="7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  <x v="1"/>
    <n v="154521"/>
    <x v="1"/>
    <n v="0"/>
  </r>
  <r>
    <n v="24"/>
    <x v="1"/>
    <s v="Travel_Rarely"/>
    <n v="1476"/>
    <x v="0"/>
    <n v="4"/>
    <n v="1"/>
    <s v="Medical"/>
    <n v="1445"/>
    <n v="4"/>
    <s v="Female"/>
    <n v="42"/>
    <n v="3"/>
    <n v="2"/>
    <x v="0"/>
    <n v="3"/>
    <s v="Married"/>
    <n v="4162"/>
    <n v="15211"/>
    <n v="1"/>
    <s v="Yes"/>
    <n v="12"/>
    <n v="3"/>
    <n v="3"/>
    <n v="2"/>
    <n v="5"/>
    <n v="3"/>
    <n v="3"/>
    <n v="5"/>
    <n v="4"/>
    <n v="0"/>
    <n v="3"/>
    <x v="0"/>
    <n v="37458"/>
    <x v="0"/>
    <n v="0"/>
  </r>
  <r>
    <n v="32"/>
    <x v="1"/>
    <s v="Travel_Rarely"/>
    <n v="601"/>
    <x v="0"/>
    <n v="7"/>
    <n v="5"/>
    <s v="Marketing"/>
    <n v="1446"/>
    <n v="4"/>
    <s v="Male"/>
    <n v="97"/>
    <n v="3"/>
    <n v="2"/>
    <x v="0"/>
    <n v="4"/>
    <s v="Married"/>
    <n v="9204"/>
    <n v="23343"/>
    <n v="4"/>
    <s v="No"/>
    <n v="12"/>
    <n v="3"/>
    <n v="3"/>
    <n v="1"/>
    <n v="7"/>
    <n v="3"/>
    <n v="2"/>
    <n v="4"/>
    <n v="3"/>
    <n v="0"/>
    <n v="3"/>
    <x v="0"/>
    <n v="82836"/>
    <x v="1"/>
    <n v="0"/>
  </r>
  <r>
    <n v="34"/>
    <x v="1"/>
    <s v="Travel_Rarely"/>
    <n v="401"/>
    <x v="1"/>
    <n v="1"/>
    <n v="3"/>
    <s v="Life Sciences"/>
    <n v="1447"/>
    <n v="4"/>
    <s v="Female"/>
    <n v="86"/>
    <n v="2"/>
    <n v="1"/>
    <x v="2"/>
    <n v="2"/>
    <s v="Married"/>
    <n v="3294"/>
    <n v="3708"/>
    <n v="5"/>
    <s v="No"/>
    <n v="17"/>
    <n v="3"/>
    <n v="1"/>
    <n v="1"/>
    <n v="7"/>
    <n v="2"/>
    <n v="2"/>
    <n v="5"/>
    <n v="4"/>
    <n v="0"/>
    <n v="2"/>
    <x v="0"/>
    <n v="29646"/>
    <x v="0"/>
    <n v="0"/>
  </r>
  <r>
    <n v="41"/>
    <x v="1"/>
    <s v="Travel_Rarely"/>
    <n v="1283"/>
    <x v="1"/>
    <n v="5"/>
    <n v="5"/>
    <s v="Medical"/>
    <n v="1448"/>
    <n v="2"/>
    <s v="Male"/>
    <n v="90"/>
    <n v="4"/>
    <n v="1"/>
    <x v="1"/>
    <n v="3"/>
    <s v="Married"/>
    <n v="2127"/>
    <n v="5561"/>
    <n v="2"/>
    <s v="Yes"/>
    <n v="12"/>
    <n v="3"/>
    <n v="1"/>
    <n v="0"/>
    <n v="7"/>
    <n v="5"/>
    <n v="2"/>
    <n v="4"/>
    <n v="2"/>
    <n v="0"/>
    <n v="3"/>
    <x v="0"/>
    <n v="19143"/>
    <x v="0"/>
    <n v="0"/>
  </r>
  <r>
    <n v="40"/>
    <x v="1"/>
    <s v="Non-Travel"/>
    <n v="663"/>
    <x v="1"/>
    <n v="9"/>
    <n v="4"/>
    <s v="Other"/>
    <n v="1449"/>
    <n v="3"/>
    <s v="Male"/>
    <n v="81"/>
    <n v="3"/>
    <n v="2"/>
    <x v="2"/>
    <n v="3"/>
    <s v="Divorced"/>
    <n v="3975"/>
    <n v="23099"/>
    <n v="3"/>
    <s v="No"/>
    <n v="11"/>
    <n v="3"/>
    <n v="3"/>
    <n v="2"/>
    <n v="11"/>
    <n v="2"/>
    <n v="4"/>
    <n v="8"/>
    <n v="7"/>
    <n v="0"/>
    <n v="7"/>
    <x v="1"/>
    <n v="35775"/>
    <x v="1"/>
    <n v="0"/>
  </r>
  <r>
    <n v="31"/>
    <x v="1"/>
    <s v="Travel_Rarely"/>
    <n v="326"/>
    <x v="0"/>
    <n v="8"/>
    <n v="2"/>
    <s v="Life Sciences"/>
    <n v="1453"/>
    <n v="1"/>
    <s v="Male"/>
    <n v="31"/>
    <n v="3"/>
    <n v="3"/>
    <x v="0"/>
    <n v="4"/>
    <s v="Divorced"/>
    <n v="10793"/>
    <n v="8386"/>
    <n v="1"/>
    <s v="No"/>
    <n v="18"/>
    <n v="3"/>
    <n v="1"/>
    <n v="1"/>
    <n v="13"/>
    <n v="5"/>
    <n v="3"/>
    <n v="13"/>
    <n v="7"/>
    <n v="9"/>
    <n v="9"/>
    <x v="1"/>
    <n v="97137"/>
    <x v="1"/>
    <n v="0"/>
  </r>
  <r>
    <n v="46"/>
    <x v="0"/>
    <s v="Travel_Rarely"/>
    <n v="377"/>
    <x v="0"/>
    <n v="9"/>
    <n v="3"/>
    <s v="Marketing"/>
    <n v="1457"/>
    <n v="1"/>
    <s v="Male"/>
    <n v="52"/>
    <n v="3"/>
    <n v="3"/>
    <x v="0"/>
    <n v="4"/>
    <s v="Divorced"/>
    <n v="10096"/>
    <n v="15986"/>
    <n v="4"/>
    <s v="No"/>
    <n v="11"/>
    <n v="3"/>
    <n v="1"/>
    <n v="1"/>
    <n v="28"/>
    <n v="1"/>
    <n v="4"/>
    <n v="7"/>
    <n v="7"/>
    <n v="4"/>
    <n v="3"/>
    <x v="1"/>
    <n v="90864"/>
    <x v="1"/>
    <n v="90864"/>
  </r>
  <r>
    <n v="39"/>
    <x v="0"/>
    <s v="Non-Travel"/>
    <n v="592"/>
    <x v="1"/>
    <n v="2"/>
    <n v="3"/>
    <s v="Life Sciences"/>
    <n v="1458"/>
    <n v="1"/>
    <s v="Female"/>
    <n v="54"/>
    <n v="2"/>
    <n v="1"/>
    <x v="2"/>
    <n v="1"/>
    <s v="Single"/>
    <n v="3646"/>
    <n v="17181"/>
    <n v="2"/>
    <s v="Yes"/>
    <n v="23"/>
    <n v="4"/>
    <n v="2"/>
    <n v="0"/>
    <n v="11"/>
    <n v="2"/>
    <n v="4"/>
    <n v="1"/>
    <n v="0"/>
    <n v="0"/>
    <n v="0"/>
    <x v="3"/>
    <n v="32814"/>
    <x v="2"/>
    <n v="32814"/>
  </r>
  <r>
    <n v="31"/>
    <x v="0"/>
    <s v="Travel_Frequently"/>
    <n v="1445"/>
    <x v="1"/>
    <n v="1"/>
    <n v="5"/>
    <s v="Life Sciences"/>
    <n v="1459"/>
    <n v="3"/>
    <s v="Female"/>
    <n v="100"/>
    <n v="4"/>
    <n v="3"/>
    <x v="3"/>
    <n v="2"/>
    <s v="Single"/>
    <n v="7446"/>
    <n v="8931"/>
    <n v="1"/>
    <s v="No"/>
    <n v="11"/>
    <n v="3"/>
    <n v="1"/>
    <n v="0"/>
    <n v="10"/>
    <n v="2"/>
    <n v="3"/>
    <n v="10"/>
    <n v="8"/>
    <n v="4"/>
    <n v="7"/>
    <x v="1"/>
    <n v="67014"/>
    <x v="0"/>
    <n v="67014"/>
  </r>
  <r>
    <n v="45"/>
    <x v="1"/>
    <s v="Travel_Rarely"/>
    <n v="1038"/>
    <x v="1"/>
    <n v="20"/>
    <n v="3"/>
    <s v="Medical"/>
    <n v="1460"/>
    <n v="2"/>
    <s v="Male"/>
    <n v="95"/>
    <n v="1"/>
    <n v="3"/>
    <x v="4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  <x v="1"/>
    <n v="97659"/>
    <x v="0"/>
    <n v="0"/>
  </r>
  <r>
    <n v="31"/>
    <x v="1"/>
    <s v="Travel_Rarely"/>
    <n v="1398"/>
    <x v="2"/>
    <n v="8"/>
    <n v="2"/>
    <s v="Medical"/>
    <n v="1461"/>
    <n v="4"/>
    <s v="Female"/>
    <n v="96"/>
    <n v="4"/>
    <n v="1"/>
    <x v="8"/>
    <n v="2"/>
    <s v="Single"/>
    <n v="2109"/>
    <n v="24609"/>
    <n v="9"/>
    <s v="No"/>
    <n v="18"/>
    <n v="3"/>
    <n v="4"/>
    <n v="0"/>
    <n v="8"/>
    <n v="3"/>
    <n v="3"/>
    <n v="3"/>
    <n v="2"/>
    <n v="0"/>
    <n v="2"/>
    <x v="3"/>
    <n v="18981"/>
    <x v="0"/>
    <n v="0"/>
  </r>
  <r>
    <n v="31"/>
    <x v="0"/>
    <s v="Travel_Frequently"/>
    <n v="523"/>
    <x v="1"/>
    <n v="2"/>
    <n v="3"/>
    <s v="Life Sciences"/>
    <n v="1464"/>
    <n v="2"/>
    <s v="Male"/>
    <n v="94"/>
    <n v="3"/>
    <n v="1"/>
    <x v="2"/>
    <n v="4"/>
    <s v="Married"/>
    <n v="3722"/>
    <n v="21081"/>
    <n v="6"/>
    <s v="Yes"/>
    <n v="13"/>
    <n v="3"/>
    <n v="3"/>
    <n v="1"/>
    <n v="7"/>
    <n v="2"/>
    <n v="1"/>
    <n v="2"/>
    <n v="2"/>
    <n v="2"/>
    <n v="2"/>
    <x v="3"/>
    <n v="33498"/>
    <x v="0"/>
    <n v="33498"/>
  </r>
  <r>
    <n v="45"/>
    <x v="1"/>
    <s v="Travel_Rarely"/>
    <n v="1448"/>
    <x v="1"/>
    <n v="29"/>
    <n v="3"/>
    <s v="Technical Degree"/>
    <n v="1465"/>
    <n v="2"/>
    <s v="Male"/>
    <n v="55"/>
    <n v="3"/>
    <n v="3"/>
    <x v="3"/>
    <n v="4"/>
    <s v="Married"/>
    <n v="9380"/>
    <n v="14720"/>
    <n v="4"/>
    <s v="Yes"/>
    <n v="18"/>
    <n v="3"/>
    <n v="4"/>
    <n v="2"/>
    <n v="10"/>
    <n v="4"/>
    <n v="4"/>
    <n v="3"/>
    <n v="1"/>
    <n v="1"/>
    <n v="2"/>
    <x v="3"/>
    <n v="84420"/>
    <x v="0"/>
    <n v="0"/>
  </r>
  <r>
    <n v="48"/>
    <x v="1"/>
    <s v="Travel_Rarely"/>
    <n v="1221"/>
    <x v="0"/>
    <n v="7"/>
    <n v="3"/>
    <s v="Marketing"/>
    <n v="1466"/>
    <n v="3"/>
    <s v="Male"/>
    <n v="96"/>
    <n v="3"/>
    <n v="2"/>
    <x v="0"/>
    <n v="1"/>
    <s v="Divorced"/>
    <n v="5486"/>
    <n v="24795"/>
    <n v="4"/>
    <s v="No"/>
    <n v="11"/>
    <n v="3"/>
    <n v="1"/>
    <n v="3"/>
    <n v="15"/>
    <n v="3"/>
    <n v="3"/>
    <n v="2"/>
    <n v="2"/>
    <n v="2"/>
    <n v="2"/>
    <x v="3"/>
    <n v="49374"/>
    <x v="0"/>
    <n v="0"/>
  </r>
  <r>
    <n v="34"/>
    <x v="0"/>
    <s v="Travel_Rarely"/>
    <n v="1107"/>
    <x v="2"/>
    <n v="9"/>
    <n v="4"/>
    <s v="Technical Degree"/>
    <n v="1467"/>
    <n v="1"/>
    <s v="Female"/>
    <n v="52"/>
    <n v="3"/>
    <n v="1"/>
    <x v="8"/>
    <n v="3"/>
    <s v="Married"/>
    <n v="2742"/>
    <n v="3072"/>
    <n v="1"/>
    <s v="No"/>
    <n v="15"/>
    <n v="3"/>
    <n v="4"/>
    <n v="0"/>
    <n v="2"/>
    <n v="0"/>
    <n v="3"/>
    <n v="2"/>
    <n v="2"/>
    <n v="2"/>
    <n v="2"/>
    <x v="3"/>
    <n v="24678"/>
    <x v="1"/>
    <n v="24678"/>
  </r>
  <r>
    <n v="40"/>
    <x v="1"/>
    <s v="Non-Travel"/>
    <n v="218"/>
    <x v="1"/>
    <n v="8"/>
    <n v="1"/>
    <s v="Medical"/>
    <n v="1468"/>
    <n v="4"/>
    <s v="Male"/>
    <n v="55"/>
    <n v="2"/>
    <n v="3"/>
    <x v="7"/>
    <n v="2"/>
    <s v="Divorced"/>
    <n v="13757"/>
    <n v="25178"/>
    <n v="2"/>
    <s v="No"/>
    <n v="11"/>
    <n v="3"/>
    <n v="3"/>
    <n v="1"/>
    <n v="16"/>
    <n v="5"/>
    <n v="3"/>
    <n v="9"/>
    <n v="8"/>
    <n v="4"/>
    <n v="8"/>
    <x v="1"/>
    <n v="123813"/>
    <x v="0"/>
    <n v="0"/>
  </r>
  <r>
    <n v="28"/>
    <x v="1"/>
    <s v="Travel_Rarely"/>
    <n v="866"/>
    <x v="0"/>
    <n v="5"/>
    <n v="3"/>
    <s v="Medical"/>
    <n v="1469"/>
    <n v="4"/>
    <s v="Male"/>
    <n v="84"/>
    <n v="3"/>
    <n v="2"/>
    <x v="0"/>
    <n v="1"/>
    <s v="Single"/>
    <n v="8463"/>
    <n v="23490"/>
    <n v="0"/>
    <s v="No"/>
    <n v="18"/>
    <n v="3"/>
    <n v="4"/>
    <n v="0"/>
    <n v="6"/>
    <n v="4"/>
    <n v="3"/>
    <n v="5"/>
    <n v="4"/>
    <n v="1"/>
    <n v="3"/>
    <x v="0"/>
    <n v="76167"/>
    <x v="0"/>
    <n v="0"/>
  </r>
  <r>
    <n v="44"/>
    <x v="1"/>
    <s v="Non-Travel"/>
    <n v="981"/>
    <x v="1"/>
    <n v="5"/>
    <n v="3"/>
    <s v="Life Sciences"/>
    <n v="1471"/>
    <n v="3"/>
    <s v="Male"/>
    <n v="90"/>
    <n v="2"/>
    <n v="1"/>
    <x v="2"/>
    <n v="3"/>
    <s v="Single"/>
    <n v="3162"/>
    <n v="7973"/>
    <n v="3"/>
    <s v="No"/>
    <n v="14"/>
    <n v="3"/>
    <n v="4"/>
    <n v="0"/>
    <n v="7"/>
    <n v="5"/>
    <n v="3"/>
    <n v="5"/>
    <n v="2"/>
    <n v="0"/>
    <n v="3"/>
    <x v="0"/>
    <n v="28458"/>
    <x v="1"/>
    <n v="0"/>
  </r>
  <r>
    <n v="53"/>
    <x v="1"/>
    <s v="Travel_Rarely"/>
    <n v="447"/>
    <x v="1"/>
    <n v="2"/>
    <n v="3"/>
    <s v="Medical"/>
    <n v="1472"/>
    <n v="4"/>
    <s v="Male"/>
    <n v="39"/>
    <n v="4"/>
    <n v="4"/>
    <x v="7"/>
    <n v="2"/>
    <s v="Single"/>
    <n v="16598"/>
    <n v="19764"/>
    <n v="4"/>
    <s v="No"/>
    <n v="12"/>
    <n v="3"/>
    <n v="2"/>
    <n v="0"/>
    <n v="35"/>
    <n v="2"/>
    <n v="2"/>
    <n v="9"/>
    <n v="8"/>
    <n v="8"/>
    <n v="8"/>
    <x v="1"/>
    <n v="149382"/>
    <x v="0"/>
    <n v="0"/>
  </r>
  <r>
    <n v="49"/>
    <x v="1"/>
    <s v="Travel_Rarely"/>
    <n v="1495"/>
    <x v="1"/>
    <n v="5"/>
    <n v="4"/>
    <s v="Technical Degree"/>
    <n v="1473"/>
    <n v="1"/>
    <s v="Male"/>
    <n v="96"/>
    <n v="3"/>
    <n v="2"/>
    <x v="4"/>
    <n v="3"/>
    <s v="Married"/>
    <n v="6651"/>
    <n v="21534"/>
    <n v="2"/>
    <s v="No"/>
    <n v="14"/>
    <n v="3"/>
    <n v="2"/>
    <n v="1"/>
    <n v="20"/>
    <n v="0"/>
    <n v="2"/>
    <n v="3"/>
    <n v="2"/>
    <n v="1"/>
    <n v="2"/>
    <x v="3"/>
    <n v="59859"/>
    <x v="1"/>
    <n v="0"/>
  </r>
  <r>
    <n v="40"/>
    <x v="1"/>
    <s v="Travel_Rarely"/>
    <n v="896"/>
    <x v="1"/>
    <n v="2"/>
    <n v="3"/>
    <s v="Medical"/>
    <n v="1474"/>
    <n v="3"/>
    <s v="Male"/>
    <n v="68"/>
    <n v="3"/>
    <n v="1"/>
    <x v="1"/>
    <n v="3"/>
    <s v="Divorced"/>
    <n v="2345"/>
    <n v="8045"/>
    <n v="2"/>
    <s v="No"/>
    <n v="14"/>
    <n v="3"/>
    <n v="3"/>
    <n v="1"/>
    <n v="8"/>
    <n v="3"/>
    <n v="4"/>
    <n v="3"/>
    <n v="1"/>
    <n v="1"/>
    <n v="2"/>
    <x v="3"/>
    <n v="21105"/>
    <x v="1"/>
    <n v="0"/>
  </r>
  <r>
    <n v="44"/>
    <x v="1"/>
    <s v="Travel_Rarely"/>
    <n v="1467"/>
    <x v="1"/>
    <n v="20"/>
    <n v="3"/>
    <s v="Life Sciences"/>
    <n v="1475"/>
    <n v="4"/>
    <s v="Male"/>
    <n v="49"/>
    <n v="3"/>
    <n v="1"/>
    <x v="1"/>
    <n v="2"/>
    <s v="Single"/>
    <n v="3420"/>
    <n v="21158"/>
    <n v="1"/>
    <s v="No"/>
    <n v="13"/>
    <n v="3"/>
    <n v="3"/>
    <n v="0"/>
    <n v="6"/>
    <n v="3"/>
    <n v="2"/>
    <n v="5"/>
    <n v="2"/>
    <n v="1"/>
    <n v="3"/>
    <x v="0"/>
    <n v="30780"/>
    <x v="0"/>
    <n v="0"/>
  </r>
  <r>
    <n v="33"/>
    <x v="1"/>
    <s v="Travel_Frequently"/>
    <n v="430"/>
    <x v="0"/>
    <n v="7"/>
    <n v="3"/>
    <s v="Medical"/>
    <n v="1477"/>
    <n v="4"/>
    <s v="Male"/>
    <n v="54"/>
    <n v="3"/>
    <n v="2"/>
    <x v="0"/>
    <n v="1"/>
    <s v="Married"/>
    <n v="4373"/>
    <n v="17456"/>
    <n v="0"/>
    <s v="No"/>
    <n v="14"/>
    <n v="3"/>
    <n v="1"/>
    <n v="2"/>
    <n v="5"/>
    <n v="2"/>
    <n v="3"/>
    <n v="4"/>
    <n v="3"/>
    <n v="0"/>
    <n v="3"/>
    <x v="0"/>
    <n v="39357"/>
    <x v="0"/>
    <n v="0"/>
  </r>
  <r>
    <n v="34"/>
    <x v="1"/>
    <s v="Travel_Rarely"/>
    <n v="1326"/>
    <x v="0"/>
    <n v="3"/>
    <n v="3"/>
    <s v="Other"/>
    <n v="1478"/>
    <n v="4"/>
    <s v="Male"/>
    <n v="81"/>
    <n v="1"/>
    <n v="2"/>
    <x v="0"/>
    <n v="1"/>
    <s v="Single"/>
    <n v="4759"/>
    <n v="15891"/>
    <n v="3"/>
    <s v="No"/>
    <n v="18"/>
    <n v="3"/>
    <n v="4"/>
    <n v="0"/>
    <n v="15"/>
    <n v="2"/>
    <n v="3"/>
    <n v="13"/>
    <n v="9"/>
    <n v="3"/>
    <n v="12"/>
    <x v="1"/>
    <n v="42831"/>
    <x v="0"/>
    <n v="0"/>
  </r>
  <r>
    <n v="30"/>
    <x v="1"/>
    <s v="Travel_Rarely"/>
    <n v="1358"/>
    <x v="0"/>
    <n v="16"/>
    <n v="1"/>
    <s v="Life Sciences"/>
    <n v="1479"/>
    <n v="4"/>
    <s v="Male"/>
    <n v="96"/>
    <n v="3"/>
    <n v="2"/>
    <x v="0"/>
    <n v="3"/>
    <s v="Married"/>
    <n v="5301"/>
    <n v="2939"/>
    <n v="8"/>
    <s v="No"/>
    <n v="15"/>
    <n v="3"/>
    <n v="3"/>
    <n v="2"/>
    <n v="4"/>
    <n v="2"/>
    <n v="2"/>
    <n v="2"/>
    <n v="1"/>
    <n v="2"/>
    <n v="2"/>
    <x v="3"/>
    <n v="47709"/>
    <x v="1"/>
    <n v="0"/>
  </r>
  <r>
    <n v="42"/>
    <x v="1"/>
    <s v="Travel_Frequently"/>
    <n v="748"/>
    <x v="1"/>
    <n v="9"/>
    <n v="2"/>
    <s v="Medical"/>
    <n v="1480"/>
    <n v="1"/>
    <s v="Female"/>
    <n v="74"/>
    <n v="3"/>
    <n v="1"/>
    <x v="2"/>
    <n v="4"/>
    <s v="Single"/>
    <n v="3673"/>
    <n v="16458"/>
    <n v="1"/>
    <s v="No"/>
    <n v="13"/>
    <n v="3"/>
    <n v="3"/>
    <n v="0"/>
    <n v="12"/>
    <n v="3"/>
    <n v="3"/>
    <n v="12"/>
    <n v="9"/>
    <n v="5"/>
    <n v="8"/>
    <x v="1"/>
    <n v="33057"/>
    <x v="1"/>
    <n v="0"/>
  </r>
  <r>
    <n v="44"/>
    <x v="1"/>
    <s v="Travel_Frequently"/>
    <n v="383"/>
    <x v="0"/>
    <n v="1"/>
    <n v="5"/>
    <s v="Marketing"/>
    <n v="1481"/>
    <n v="1"/>
    <s v="Female"/>
    <n v="79"/>
    <n v="3"/>
    <n v="2"/>
    <x v="0"/>
    <n v="3"/>
    <s v="Married"/>
    <n v="4768"/>
    <n v="9282"/>
    <n v="7"/>
    <s v="No"/>
    <n v="12"/>
    <n v="3"/>
    <n v="3"/>
    <n v="1"/>
    <n v="11"/>
    <n v="4"/>
    <n v="2"/>
    <n v="1"/>
    <n v="0"/>
    <n v="0"/>
    <n v="0"/>
    <x v="3"/>
    <n v="42912"/>
    <x v="1"/>
    <n v="0"/>
  </r>
  <r>
    <n v="30"/>
    <x v="1"/>
    <s v="Non-Travel"/>
    <n v="990"/>
    <x v="1"/>
    <n v="7"/>
    <n v="3"/>
    <s v="Technical Degree"/>
    <n v="1482"/>
    <n v="3"/>
    <s v="Male"/>
    <n v="64"/>
    <n v="3"/>
    <n v="1"/>
    <x v="1"/>
    <n v="3"/>
    <s v="Divorced"/>
    <n v="1274"/>
    <n v="7152"/>
    <n v="1"/>
    <s v="No"/>
    <n v="13"/>
    <n v="3"/>
    <n v="2"/>
    <n v="2"/>
    <n v="1"/>
    <n v="2"/>
    <n v="2"/>
    <n v="1"/>
    <n v="0"/>
    <n v="0"/>
    <n v="0"/>
    <x v="3"/>
    <n v="11466"/>
    <x v="1"/>
    <n v="0"/>
  </r>
  <r>
    <n v="57"/>
    <x v="1"/>
    <s v="Travel_Rarely"/>
    <n v="405"/>
    <x v="1"/>
    <n v="1"/>
    <n v="2"/>
    <s v="Life Sciences"/>
    <n v="1483"/>
    <n v="2"/>
    <s v="Male"/>
    <n v="93"/>
    <n v="4"/>
    <n v="2"/>
    <x v="1"/>
    <n v="3"/>
    <s v="Married"/>
    <n v="4900"/>
    <n v="2721"/>
    <n v="0"/>
    <s v="No"/>
    <n v="24"/>
    <n v="4"/>
    <n v="1"/>
    <n v="1"/>
    <n v="13"/>
    <n v="2"/>
    <n v="2"/>
    <n v="12"/>
    <n v="9"/>
    <n v="2"/>
    <n v="8"/>
    <x v="1"/>
    <n v="44100"/>
    <x v="1"/>
    <n v="0"/>
  </r>
  <r>
    <n v="49"/>
    <x v="1"/>
    <s v="Travel_Rarely"/>
    <n v="1490"/>
    <x v="1"/>
    <n v="7"/>
    <n v="4"/>
    <s v="Life Sciences"/>
    <n v="1484"/>
    <n v="3"/>
    <s v="Male"/>
    <n v="35"/>
    <n v="3"/>
    <n v="3"/>
    <x v="4"/>
    <n v="2"/>
    <s v="Divorced"/>
    <n v="10466"/>
    <n v="20948"/>
    <n v="3"/>
    <s v="No"/>
    <n v="14"/>
    <n v="3"/>
    <n v="2"/>
    <n v="2"/>
    <n v="29"/>
    <n v="3"/>
    <n v="3"/>
    <n v="8"/>
    <n v="7"/>
    <n v="0"/>
    <n v="7"/>
    <x v="1"/>
    <n v="94194"/>
    <x v="0"/>
    <n v="0"/>
  </r>
  <r>
    <n v="34"/>
    <x v="1"/>
    <s v="Travel_Frequently"/>
    <n v="829"/>
    <x v="1"/>
    <n v="15"/>
    <n v="3"/>
    <s v="Medical"/>
    <n v="1485"/>
    <n v="2"/>
    <s v="Male"/>
    <n v="71"/>
    <n v="3"/>
    <n v="4"/>
    <x v="7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  <x v="1"/>
    <n v="153063"/>
    <x v="0"/>
    <n v="0"/>
  </r>
  <r>
    <n v="28"/>
    <x v="0"/>
    <s v="Travel_Frequently"/>
    <n v="1496"/>
    <x v="0"/>
    <n v="1"/>
    <n v="3"/>
    <s v="Technical Degree"/>
    <n v="1486"/>
    <n v="1"/>
    <s v="Male"/>
    <n v="92"/>
    <n v="3"/>
    <n v="1"/>
    <x v="6"/>
    <n v="3"/>
    <s v="Married"/>
    <n v="2909"/>
    <n v="15747"/>
    <n v="3"/>
    <s v="No"/>
    <n v="15"/>
    <n v="3"/>
    <n v="4"/>
    <n v="1"/>
    <n v="5"/>
    <n v="3"/>
    <n v="4"/>
    <n v="3"/>
    <n v="2"/>
    <n v="1"/>
    <n v="2"/>
    <x v="3"/>
    <n v="26181"/>
    <x v="1"/>
    <n v="26181"/>
  </r>
  <r>
    <n v="29"/>
    <x v="0"/>
    <s v="Travel_Frequently"/>
    <n v="115"/>
    <x v="0"/>
    <n v="13"/>
    <n v="3"/>
    <s v="Technical Degree"/>
    <n v="1487"/>
    <n v="1"/>
    <s v="Female"/>
    <n v="51"/>
    <n v="3"/>
    <n v="2"/>
    <x v="0"/>
    <n v="2"/>
    <s v="Single"/>
    <n v="5765"/>
    <n v="17485"/>
    <n v="5"/>
    <s v="No"/>
    <n v="11"/>
    <n v="3"/>
    <n v="1"/>
    <n v="0"/>
    <n v="7"/>
    <n v="4"/>
    <n v="1"/>
    <n v="5"/>
    <n v="3"/>
    <n v="0"/>
    <n v="0"/>
    <x v="0"/>
    <n v="51885"/>
    <x v="0"/>
    <n v="51885"/>
  </r>
  <r>
    <n v="34"/>
    <x v="0"/>
    <s v="Travel_Rarely"/>
    <n v="790"/>
    <x v="0"/>
    <n v="24"/>
    <n v="4"/>
    <s v="Medical"/>
    <n v="1489"/>
    <n v="1"/>
    <s v="Female"/>
    <n v="40"/>
    <n v="2"/>
    <n v="2"/>
    <x v="0"/>
    <n v="2"/>
    <s v="Single"/>
    <n v="4599"/>
    <n v="7815"/>
    <n v="0"/>
    <s v="Yes"/>
    <n v="23"/>
    <n v="4"/>
    <n v="3"/>
    <n v="0"/>
    <n v="16"/>
    <n v="2"/>
    <n v="4"/>
    <n v="15"/>
    <n v="9"/>
    <n v="10"/>
    <n v="10"/>
    <x v="1"/>
    <n v="41391"/>
    <x v="0"/>
    <n v="41391"/>
  </r>
  <r>
    <n v="35"/>
    <x v="1"/>
    <s v="Travel_Rarely"/>
    <n v="660"/>
    <x v="0"/>
    <n v="7"/>
    <n v="1"/>
    <s v="Life Sciences"/>
    <n v="1492"/>
    <n v="4"/>
    <s v="Male"/>
    <n v="76"/>
    <n v="3"/>
    <n v="1"/>
    <x v="6"/>
    <n v="3"/>
    <s v="Married"/>
    <n v="2404"/>
    <n v="16192"/>
    <n v="1"/>
    <s v="No"/>
    <n v="13"/>
    <n v="3"/>
    <n v="1"/>
    <n v="1"/>
    <n v="1"/>
    <n v="3"/>
    <n v="3"/>
    <n v="1"/>
    <n v="0"/>
    <n v="0"/>
    <n v="0"/>
    <x v="3"/>
    <n v="21636"/>
    <x v="1"/>
    <n v="0"/>
  </r>
  <r>
    <n v="24"/>
    <x v="0"/>
    <s v="Travel_Frequently"/>
    <n v="381"/>
    <x v="1"/>
    <n v="9"/>
    <n v="3"/>
    <s v="Medical"/>
    <n v="1494"/>
    <n v="2"/>
    <s v="Male"/>
    <n v="89"/>
    <n v="3"/>
    <n v="1"/>
    <x v="2"/>
    <n v="1"/>
    <s v="Single"/>
    <n v="3172"/>
    <n v="16998"/>
    <n v="2"/>
    <s v="Yes"/>
    <n v="11"/>
    <n v="3"/>
    <n v="3"/>
    <n v="0"/>
    <n v="4"/>
    <n v="2"/>
    <n v="2"/>
    <n v="0"/>
    <n v="0"/>
    <n v="0"/>
    <n v="0"/>
    <x v="2"/>
    <n v="28548"/>
    <x v="2"/>
    <n v="28548"/>
  </r>
  <r>
    <n v="24"/>
    <x v="1"/>
    <s v="Non-Travel"/>
    <n v="830"/>
    <x v="0"/>
    <n v="13"/>
    <n v="2"/>
    <s v="Life Sciences"/>
    <n v="1495"/>
    <n v="4"/>
    <s v="Female"/>
    <n v="78"/>
    <n v="3"/>
    <n v="1"/>
    <x v="6"/>
    <n v="2"/>
    <s v="Married"/>
    <n v="2033"/>
    <n v="7103"/>
    <n v="1"/>
    <s v="No"/>
    <n v="13"/>
    <n v="3"/>
    <n v="3"/>
    <n v="1"/>
    <n v="1"/>
    <n v="2"/>
    <n v="3"/>
    <n v="1"/>
    <n v="0"/>
    <n v="0"/>
    <n v="0"/>
    <x v="3"/>
    <n v="18297"/>
    <x v="0"/>
    <n v="0"/>
  </r>
  <r>
    <n v="44"/>
    <x v="1"/>
    <s v="Travel_Frequently"/>
    <n v="1193"/>
    <x v="1"/>
    <n v="2"/>
    <n v="1"/>
    <s v="Medical"/>
    <n v="1496"/>
    <n v="2"/>
    <s v="Male"/>
    <n v="86"/>
    <n v="3"/>
    <n v="3"/>
    <x v="3"/>
    <n v="3"/>
    <s v="Single"/>
    <n v="10209"/>
    <n v="19719"/>
    <n v="5"/>
    <s v="Yes"/>
    <n v="18"/>
    <n v="3"/>
    <n v="2"/>
    <n v="0"/>
    <n v="16"/>
    <n v="2"/>
    <n v="2"/>
    <n v="2"/>
    <n v="2"/>
    <n v="2"/>
    <n v="2"/>
    <x v="3"/>
    <n v="91881"/>
    <x v="0"/>
    <n v="0"/>
  </r>
  <r>
    <n v="29"/>
    <x v="1"/>
    <s v="Travel_Rarely"/>
    <n v="1246"/>
    <x v="0"/>
    <n v="19"/>
    <n v="3"/>
    <s v="Life Sciences"/>
    <n v="1497"/>
    <n v="3"/>
    <s v="Male"/>
    <n v="77"/>
    <n v="2"/>
    <n v="2"/>
    <x v="0"/>
    <n v="3"/>
    <s v="Divorced"/>
    <n v="8620"/>
    <n v="23757"/>
    <n v="1"/>
    <s v="No"/>
    <n v="14"/>
    <n v="3"/>
    <n v="3"/>
    <n v="2"/>
    <n v="10"/>
    <n v="3"/>
    <n v="3"/>
    <n v="10"/>
    <n v="7"/>
    <n v="0"/>
    <n v="4"/>
    <x v="1"/>
    <n v="77580"/>
    <x v="1"/>
    <n v="0"/>
  </r>
  <r>
    <n v="30"/>
    <x v="1"/>
    <s v="Travel_Rarely"/>
    <n v="330"/>
    <x v="2"/>
    <n v="1"/>
    <n v="3"/>
    <s v="Life Sciences"/>
    <n v="1499"/>
    <n v="3"/>
    <s v="Male"/>
    <n v="46"/>
    <n v="3"/>
    <n v="1"/>
    <x v="8"/>
    <n v="3"/>
    <s v="Divorced"/>
    <n v="2064"/>
    <n v="15428"/>
    <n v="0"/>
    <s v="No"/>
    <n v="21"/>
    <n v="4"/>
    <n v="1"/>
    <n v="1"/>
    <n v="6"/>
    <n v="3"/>
    <n v="4"/>
    <n v="5"/>
    <n v="3"/>
    <n v="1"/>
    <n v="3"/>
    <x v="0"/>
    <n v="18576"/>
    <x v="1"/>
    <n v="0"/>
  </r>
  <r>
    <n v="55"/>
    <x v="1"/>
    <s v="Travel_Rarely"/>
    <n v="1229"/>
    <x v="1"/>
    <n v="4"/>
    <n v="4"/>
    <s v="Life Sciences"/>
    <n v="1501"/>
    <n v="4"/>
    <s v="Male"/>
    <n v="30"/>
    <n v="3"/>
    <n v="2"/>
    <x v="4"/>
    <n v="3"/>
    <s v="Married"/>
    <n v="4035"/>
    <n v="16143"/>
    <n v="0"/>
    <s v="Yes"/>
    <n v="16"/>
    <n v="3"/>
    <n v="2"/>
    <n v="0"/>
    <n v="4"/>
    <n v="2"/>
    <n v="3"/>
    <n v="3"/>
    <n v="2"/>
    <n v="1"/>
    <n v="2"/>
    <x v="3"/>
    <n v="36315"/>
    <x v="0"/>
    <n v="0"/>
  </r>
  <r>
    <n v="33"/>
    <x v="1"/>
    <s v="Travel_Rarely"/>
    <n v="1099"/>
    <x v="1"/>
    <n v="4"/>
    <n v="4"/>
    <s v="Medical"/>
    <n v="1502"/>
    <n v="1"/>
    <s v="Female"/>
    <n v="82"/>
    <n v="2"/>
    <n v="1"/>
    <x v="2"/>
    <n v="2"/>
    <s v="Married"/>
    <n v="3838"/>
    <n v="8192"/>
    <n v="8"/>
    <s v="No"/>
    <n v="11"/>
    <n v="3"/>
    <n v="4"/>
    <n v="0"/>
    <n v="8"/>
    <n v="5"/>
    <n v="3"/>
    <n v="5"/>
    <n v="4"/>
    <n v="0"/>
    <n v="2"/>
    <x v="0"/>
    <n v="34542"/>
    <x v="0"/>
    <n v="0"/>
  </r>
  <r>
    <n v="47"/>
    <x v="1"/>
    <s v="Travel_Rarely"/>
    <n v="571"/>
    <x v="0"/>
    <n v="14"/>
    <n v="3"/>
    <s v="Medical"/>
    <n v="1503"/>
    <n v="3"/>
    <s v="Female"/>
    <n v="78"/>
    <n v="3"/>
    <n v="2"/>
    <x v="0"/>
    <n v="3"/>
    <s v="Married"/>
    <n v="4591"/>
    <n v="24200"/>
    <n v="3"/>
    <s v="Yes"/>
    <n v="17"/>
    <n v="3"/>
    <n v="3"/>
    <n v="1"/>
    <n v="11"/>
    <n v="4"/>
    <n v="2"/>
    <n v="5"/>
    <n v="4"/>
    <n v="1"/>
    <n v="2"/>
    <x v="0"/>
    <n v="41319"/>
    <x v="0"/>
    <n v="0"/>
  </r>
  <r>
    <n v="28"/>
    <x v="0"/>
    <s v="Travel_Frequently"/>
    <n v="289"/>
    <x v="1"/>
    <n v="2"/>
    <n v="2"/>
    <s v="Medical"/>
    <n v="1504"/>
    <n v="3"/>
    <s v="Male"/>
    <n v="38"/>
    <n v="2"/>
    <n v="1"/>
    <x v="2"/>
    <n v="1"/>
    <s v="Single"/>
    <n v="2561"/>
    <n v="5355"/>
    <n v="7"/>
    <s v="No"/>
    <n v="11"/>
    <n v="3"/>
    <n v="3"/>
    <n v="0"/>
    <n v="8"/>
    <n v="2"/>
    <n v="2"/>
    <n v="0"/>
    <n v="0"/>
    <n v="0"/>
    <n v="0"/>
    <x v="2"/>
    <n v="23049"/>
    <x v="0"/>
    <n v="23049"/>
  </r>
  <r>
    <n v="28"/>
    <x v="1"/>
    <s v="Travel_Rarely"/>
    <n v="1423"/>
    <x v="1"/>
    <n v="1"/>
    <n v="3"/>
    <s v="Life Sciences"/>
    <n v="1506"/>
    <n v="1"/>
    <s v="Male"/>
    <n v="72"/>
    <n v="2"/>
    <n v="1"/>
    <x v="1"/>
    <n v="3"/>
    <s v="Divorced"/>
    <n v="1563"/>
    <n v="12530"/>
    <n v="1"/>
    <s v="No"/>
    <n v="14"/>
    <n v="3"/>
    <n v="4"/>
    <n v="1"/>
    <n v="1"/>
    <n v="2"/>
    <n v="1"/>
    <n v="1"/>
    <n v="0"/>
    <n v="0"/>
    <n v="0"/>
    <x v="3"/>
    <n v="14067"/>
    <x v="1"/>
    <n v="0"/>
  </r>
  <r>
    <n v="28"/>
    <x v="1"/>
    <s v="Travel_Frequently"/>
    <n v="467"/>
    <x v="0"/>
    <n v="7"/>
    <n v="3"/>
    <s v="Life Sciences"/>
    <n v="1507"/>
    <n v="3"/>
    <s v="Male"/>
    <n v="55"/>
    <n v="3"/>
    <n v="2"/>
    <x v="0"/>
    <n v="1"/>
    <s v="Single"/>
    <n v="4898"/>
    <n v="11827"/>
    <n v="0"/>
    <s v="No"/>
    <n v="14"/>
    <n v="3"/>
    <n v="4"/>
    <n v="0"/>
    <n v="5"/>
    <n v="5"/>
    <n v="3"/>
    <n v="4"/>
    <n v="2"/>
    <n v="1"/>
    <n v="3"/>
    <x v="0"/>
    <n v="44082"/>
    <x v="0"/>
    <n v="0"/>
  </r>
  <r>
    <n v="49"/>
    <x v="1"/>
    <s v="Travel_Rarely"/>
    <n v="271"/>
    <x v="1"/>
    <n v="3"/>
    <n v="2"/>
    <s v="Medical"/>
    <n v="1509"/>
    <n v="3"/>
    <s v="Female"/>
    <n v="43"/>
    <n v="2"/>
    <n v="2"/>
    <x v="2"/>
    <n v="1"/>
    <s v="Married"/>
    <n v="4789"/>
    <n v="23070"/>
    <n v="4"/>
    <s v="No"/>
    <n v="25"/>
    <n v="4"/>
    <n v="1"/>
    <n v="1"/>
    <n v="10"/>
    <n v="3"/>
    <n v="3"/>
    <n v="3"/>
    <n v="2"/>
    <n v="1"/>
    <n v="2"/>
    <x v="3"/>
    <n v="43101"/>
    <x v="0"/>
    <n v="0"/>
  </r>
  <r>
    <n v="29"/>
    <x v="1"/>
    <s v="Travel_Frequently"/>
    <n v="410"/>
    <x v="1"/>
    <n v="2"/>
    <n v="1"/>
    <s v="Life Sciences"/>
    <n v="1513"/>
    <n v="4"/>
    <s v="Female"/>
    <n v="97"/>
    <n v="3"/>
    <n v="1"/>
    <x v="2"/>
    <n v="2"/>
    <s v="Married"/>
    <n v="3180"/>
    <n v="4668"/>
    <n v="0"/>
    <s v="No"/>
    <n v="13"/>
    <n v="3"/>
    <n v="3"/>
    <n v="3"/>
    <n v="4"/>
    <n v="3"/>
    <n v="3"/>
    <n v="3"/>
    <n v="2"/>
    <n v="0"/>
    <n v="2"/>
    <x v="3"/>
    <n v="28620"/>
    <x v="0"/>
    <n v="0"/>
  </r>
  <r>
    <n v="28"/>
    <x v="1"/>
    <s v="Travel_Rarely"/>
    <n v="1083"/>
    <x v="1"/>
    <n v="29"/>
    <n v="1"/>
    <s v="Life Sciences"/>
    <n v="1514"/>
    <n v="3"/>
    <s v="Male"/>
    <n v="96"/>
    <n v="1"/>
    <n v="2"/>
    <x v="3"/>
    <n v="2"/>
    <s v="Married"/>
    <n v="6549"/>
    <n v="3173"/>
    <n v="1"/>
    <s v="No"/>
    <n v="14"/>
    <n v="3"/>
    <n v="2"/>
    <n v="2"/>
    <n v="8"/>
    <n v="2"/>
    <n v="2"/>
    <n v="8"/>
    <n v="6"/>
    <n v="1"/>
    <n v="7"/>
    <x v="1"/>
    <n v="58941"/>
    <x v="0"/>
    <n v="0"/>
  </r>
  <r>
    <n v="33"/>
    <x v="1"/>
    <s v="Travel_Rarely"/>
    <n v="516"/>
    <x v="1"/>
    <n v="8"/>
    <n v="5"/>
    <s v="Life Sciences"/>
    <n v="1515"/>
    <n v="4"/>
    <s v="Male"/>
    <n v="69"/>
    <n v="3"/>
    <n v="2"/>
    <x v="4"/>
    <n v="3"/>
    <s v="Single"/>
    <n v="6388"/>
    <n v="22049"/>
    <n v="2"/>
    <s v="Yes"/>
    <n v="17"/>
    <n v="3"/>
    <n v="1"/>
    <n v="0"/>
    <n v="14"/>
    <n v="6"/>
    <n v="3"/>
    <n v="0"/>
    <n v="0"/>
    <n v="0"/>
    <n v="0"/>
    <x v="2"/>
    <n v="57492"/>
    <x v="0"/>
    <n v="0"/>
  </r>
  <r>
    <n v="32"/>
    <x v="1"/>
    <s v="Travel_Rarely"/>
    <n v="495"/>
    <x v="1"/>
    <n v="10"/>
    <n v="3"/>
    <s v="Medical"/>
    <n v="1516"/>
    <n v="3"/>
    <s v="Male"/>
    <n v="64"/>
    <n v="3"/>
    <n v="3"/>
    <x v="5"/>
    <n v="4"/>
    <s v="Single"/>
    <n v="11244"/>
    <n v="21072"/>
    <n v="2"/>
    <s v="No"/>
    <n v="25"/>
    <n v="4"/>
    <n v="2"/>
    <n v="0"/>
    <n v="10"/>
    <n v="5"/>
    <n v="4"/>
    <n v="5"/>
    <n v="2"/>
    <n v="0"/>
    <n v="0"/>
    <x v="0"/>
    <n v="101196"/>
    <x v="1"/>
    <n v="0"/>
  </r>
  <r>
    <n v="54"/>
    <x v="1"/>
    <s v="Travel_Frequently"/>
    <n v="1050"/>
    <x v="1"/>
    <n v="11"/>
    <n v="4"/>
    <s v="Medical"/>
    <n v="1520"/>
    <n v="2"/>
    <s v="Female"/>
    <n v="87"/>
    <n v="3"/>
    <n v="4"/>
    <x v="5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  <x v="1"/>
    <n v="144288"/>
    <x v="1"/>
    <n v="0"/>
  </r>
  <r>
    <n v="29"/>
    <x v="0"/>
    <s v="Travel_Rarely"/>
    <n v="224"/>
    <x v="1"/>
    <n v="1"/>
    <n v="4"/>
    <s v="Technical Degree"/>
    <n v="1522"/>
    <n v="1"/>
    <s v="Male"/>
    <n v="100"/>
    <n v="2"/>
    <n v="1"/>
    <x v="1"/>
    <n v="1"/>
    <s v="Single"/>
    <n v="2362"/>
    <n v="7568"/>
    <n v="6"/>
    <s v="No"/>
    <n v="13"/>
    <n v="3"/>
    <n v="3"/>
    <n v="0"/>
    <n v="11"/>
    <n v="2"/>
    <n v="1"/>
    <n v="9"/>
    <n v="7"/>
    <n v="0"/>
    <n v="7"/>
    <x v="1"/>
    <n v="21258"/>
    <x v="0"/>
    <n v="21258"/>
  </r>
  <r>
    <n v="44"/>
    <x v="1"/>
    <s v="Travel_Rarely"/>
    <n v="136"/>
    <x v="1"/>
    <n v="28"/>
    <n v="3"/>
    <s v="Life Sciences"/>
    <n v="1523"/>
    <n v="4"/>
    <s v="Male"/>
    <n v="32"/>
    <n v="3"/>
    <n v="4"/>
    <x v="7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  <x v="1"/>
    <n v="146952"/>
    <x v="0"/>
    <n v="0"/>
  </r>
  <r>
    <n v="39"/>
    <x v="1"/>
    <s v="Travel_Rarely"/>
    <n v="1089"/>
    <x v="1"/>
    <n v="6"/>
    <n v="3"/>
    <s v="Life Sciences"/>
    <n v="1525"/>
    <n v="2"/>
    <s v="Female"/>
    <n v="32"/>
    <n v="3"/>
    <n v="3"/>
    <x v="3"/>
    <n v="2"/>
    <s v="Single"/>
    <n v="8376"/>
    <n v="9150"/>
    <n v="4"/>
    <s v="No"/>
    <n v="18"/>
    <n v="3"/>
    <n v="4"/>
    <n v="0"/>
    <n v="9"/>
    <n v="3"/>
    <n v="3"/>
    <n v="2"/>
    <n v="0"/>
    <n v="2"/>
    <n v="2"/>
    <x v="3"/>
    <n v="75384"/>
    <x v="0"/>
    <n v="0"/>
  </r>
  <r>
    <n v="46"/>
    <x v="1"/>
    <s v="Travel_Rarely"/>
    <n v="228"/>
    <x v="0"/>
    <n v="3"/>
    <n v="3"/>
    <s v="Life Sciences"/>
    <n v="1527"/>
    <n v="3"/>
    <s v="Female"/>
    <n v="51"/>
    <n v="3"/>
    <n v="4"/>
    <x v="5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  <x v="1"/>
    <n v="149454"/>
    <x v="0"/>
    <n v="0"/>
  </r>
  <r>
    <n v="35"/>
    <x v="1"/>
    <s v="Travel_Rarely"/>
    <n v="1029"/>
    <x v="1"/>
    <n v="16"/>
    <n v="3"/>
    <s v="Life Sciences"/>
    <n v="1529"/>
    <n v="4"/>
    <s v="Female"/>
    <n v="91"/>
    <n v="2"/>
    <n v="3"/>
    <x v="4"/>
    <n v="2"/>
    <s v="Single"/>
    <n v="8606"/>
    <n v="21195"/>
    <n v="1"/>
    <s v="No"/>
    <n v="19"/>
    <n v="3"/>
    <n v="4"/>
    <n v="0"/>
    <n v="11"/>
    <n v="3"/>
    <n v="1"/>
    <n v="11"/>
    <n v="8"/>
    <n v="3"/>
    <n v="3"/>
    <x v="1"/>
    <n v="77454"/>
    <x v="0"/>
    <n v="0"/>
  </r>
  <r>
    <n v="23"/>
    <x v="1"/>
    <s v="Travel_Rarely"/>
    <n v="507"/>
    <x v="1"/>
    <n v="20"/>
    <n v="1"/>
    <s v="Life Sciences"/>
    <n v="1533"/>
    <n v="1"/>
    <s v="Male"/>
    <n v="97"/>
    <n v="3"/>
    <n v="2"/>
    <x v="2"/>
    <n v="3"/>
    <s v="Single"/>
    <n v="2272"/>
    <n v="24812"/>
    <n v="0"/>
    <s v="No"/>
    <n v="14"/>
    <n v="3"/>
    <n v="2"/>
    <n v="0"/>
    <n v="5"/>
    <n v="2"/>
    <n v="3"/>
    <n v="4"/>
    <n v="3"/>
    <n v="1"/>
    <n v="2"/>
    <x v="0"/>
    <n v="20448"/>
    <x v="1"/>
    <n v="0"/>
  </r>
  <r>
    <n v="40"/>
    <x v="0"/>
    <s v="Travel_Rarely"/>
    <n v="676"/>
    <x v="1"/>
    <n v="9"/>
    <n v="4"/>
    <s v="Life Sciences"/>
    <n v="1534"/>
    <n v="4"/>
    <s v="Male"/>
    <n v="86"/>
    <n v="3"/>
    <n v="1"/>
    <x v="2"/>
    <n v="1"/>
    <s v="Single"/>
    <n v="2018"/>
    <n v="21831"/>
    <n v="3"/>
    <s v="No"/>
    <n v="14"/>
    <n v="3"/>
    <n v="2"/>
    <n v="0"/>
    <n v="15"/>
    <n v="3"/>
    <n v="1"/>
    <n v="5"/>
    <n v="4"/>
    <n v="1"/>
    <n v="0"/>
    <x v="0"/>
    <n v="18162"/>
    <x v="0"/>
    <n v="18162"/>
  </r>
  <r>
    <n v="34"/>
    <x v="1"/>
    <s v="Travel_Rarely"/>
    <n v="971"/>
    <x v="0"/>
    <n v="1"/>
    <n v="3"/>
    <s v="Technical Degree"/>
    <n v="1535"/>
    <n v="4"/>
    <s v="Male"/>
    <n v="64"/>
    <n v="2"/>
    <n v="3"/>
    <x v="0"/>
    <n v="3"/>
    <s v="Married"/>
    <n v="7083"/>
    <n v="12288"/>
    <n v="1"/>
    <s v="Yes"/>
    <n v="14"/>
    <n v="3"/>
    <n v="4"/>
    <n v="0"/>
    <n v="10"/>
    <n v="3"/>
    <n v="3"/>
    <n v="10"/>
    <n v="9"/>
    <n v="8"/>
    <n v="6"/>
    <x v="1"/>
    <n v="63747"/>
    <x v="0"/>
    <n v="0"/>
  </r>
  <r>
    <n v="31"/>
    <x v="0"/>
    <s v="Travel_Frequently"/>
    <n v="561"/>
    <x v="1"/>
    <n v="3"/>
    <n v="3"/>
    <s v="Life Sciences"/>
    <n v="1537"/>
    <n v="4"/>
    <s v="Female"/>
    <n v="33"/>
    <n v="3"/>
    <n v="1"/>
    <x v="1"/>
    <n v="3"/>
    <s v="Single"/>
    <n v="4084"/>
    <n v="4156"/>
    <n v="1"/>
    <s v="No"/>
    <n v="12"/>
    <n v="3"/>
    <n v="1"/>
    <n v="0"/>
    <n v="7"/>
    <n v="2"/>
    <n v="1"/>
    <n v="7"/>
    <n v="2"/>
    <n v="7"/>
    <n v="7"/>
    <x v="1"/>
    <n v="36756"/>
    <x v="1"/>
    <n v="36756"/>
  </r>
  <r>
    <n v="50"/>
    <x v="1"/>
    <s v="Travel_Frequently"/>
    <n v="333"/>
    <x v="1"/>
    <n v="22"/>
    <n v="5"/>
    <s v="Medical"/>
    <n v="1539"/>
    <n v="3"/>
    <s v="Male"/>
    <n v="88"/>
    <n v="1"/>
    <n v="4"/>
    <x v="7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  <x v="1"/>
    <n v="129699"/>
    <x v="0"/>
    <n v="0"/>
  </r>
  <r>
    <n v="34"/>
    <x v="1"/>
    <s v="Travel_Rarely"/>
    <n v="1440"/>
    <x v="0"/>
    <n v="7"/>
    <n v="2"/>
    <s v="Technical Degree"/>
    <n v="1541"/>
    <n v="2"/>
    <s v="Male"/>
    <n v="55"/>
    <n v="3"/>
    <n v="1"/>
    <x v="6"/>
    <n v="3"/>
    <s v="Married"/>
    <n v="2308"/>
    <n v="4944"/>
    <n v="0"/>
    <s v="Yes"/>
    <n v="25"/>
    <n v="4"/>
    <n v="2"/>
    <n v="1"/>
    <n v="12"/>
    <n v="4"/>
    <n v="3"/>
    <n v="11"/>
    <n v="10"/>
    <n v="5"/>
    <n v="7"/>
    <x v="1"/>
    <n v="20772"/>
    <x v="0"/>
    <n v="0"/>
  </r>
  <r>
    <n v="42"/>
    <x v="1"/>
    <s v="Travel_Rarely"/>
    <n v="1210"/>
    <x v="1"/>
    <n v="2"/>
    <n v="3"/>
    <s v="Medical"/>
    <n v="1542"/>
    <n v="3"/>
    <s v="Male"/>
    <n v="68"/>
    <n v="2"/>
    <n v="1"/>
    <x v="2"/>
    <n v="2"/>
    <s v="Married"/>
    <n v="4841"/>
    <n v="24052"/>
    <n v="4"/>
    <s v="No"/>
    <n v="14"/>
    <n v="3"/>
    <n v="2"/>
    <n v="1"/>
    <n v="4"/>
    <n v="3"/>
    <n v="3"/>
    <n v="1"/>
    <n v="0"/>
    <n v="0"/>
    <n v="0"/>
    <x v="3"/>
    <n v="43569"/>
    <x v="0"/>
    <n v="0"/>
  </r>
  <r>
    <n v="37"/>
    <x v="1"/>
    <s v="Travel_Rarely"/>
    <n v="674"/>
    <x v="1"/>
    <n v="13"/>
    <n v="3"/>
    <s v="Medical"/>
    <n v="1543"/>
    <n v="1"/>
    <s v="Male"/>
    <n v="47"/>
    <n v="3"/>
    <n v="2"/>
    <x v="1"/>
    <n v="4"/>
    <s v="Married"/>
    <n v="4285"/>
    <n v="3031"/>
    <n v="1"/>
    <s v="No"/>
    <n v="17"/>
    <n v="3"/>
    <n v="1"/>
    <n v="0"/>
    <n v="10"/>
    <n v="2"/>
    <n v="3"/>
    <n v="10"/>
    <n v="8"/>
    <n v="3"/>
    <n v="7"/>
    <x v="1"/>
    <n v="38565"/>
    <x v="1"/>
    <n v="0"/>
  </r>
  <r>
    <n v="29"/>
    <x v="1"/>
    <s v="Travel_Rarely"/>
    <n v="441"/>
    <x v="1"/>
    <n v="8"/>
    <n v="1"/>
    <s v="Other"/>
    <n v="1544"/>
    <n v="3"/>
    <s v="Female"/>
    <n v="39"/>
    <n v="1"/>
    <n v="2"/>
    <x v="4"/>
    <n v="1"/>
    <s v="Married"/>
    <n v="9715"/>
    <n v="7288"/>
    <n v="3"/>
    <s v="No"/>
    <n v="13"/>
    <n v="3"/>
    <n v="3"/>
    <n v="1"/>
    <n v="9"/>
    <n v="3"/>
    <n v="3"/>
    <n v="7"/>
    <n v="7"/>
    <n v="0"/>
    <n v="7"/>
    <x v="1"/>
    <n v="87435"/>
    <x v="0"/>
    <n v="0"/>
  </r>
  <r>
    <n v="33"/>
    <x v="1"/>
    <s v="Travel_Rarely"/>
    <n v="575"/>
    <x v="1"/>
    <n v="25"/>
    <n v="3"/>
    <s v="Life Sciences"/>
    <n v="1545"/>
    <n v="4"/>
    <s v="Male"/>
    <n v="44"/>
    <n v="2"/>
    <n v="2"/>
    <x v="3"/>
    <n v="2"/>
    <s v="Single"/>
    <n v="4320"/>
    <n v="24152"/>
    <n v="1"/>
    <s v="No"/>
    <n v="13"/>
    <n v="3"/>
    <n v="4"/>
    <n v="0"/>
    <n v="5"/>
    <n v="2"/>
    <n v="3"/>
    <n v="5"/>
    <n v="3"/>
    <n v="0"/>
    <n v="2"/>
    <x v="0"/>
    <n v="38880"/>
    <x v="0"/>
    <n v="0"/>
  </r>
  <r>
    <n v="45"/>
    <x v="1"/>
    <s v="Travel_Rarely"/>
    <n v="950"/>
    <x v="1"/>
    <n v="28"/>
    <n v="3"/>
    <s v="Technical Degree"/>
    <n v="1546"/>
    <n v="4"/>
    <s v="Male"/>
    <n v="97"/>
    <n v="3"/>
    <n v="1"/>
    <x v="1"/>
    <n v="4"/>
    <s v="Married"/>
    <n v="2132"/>
    <n v="4585"/>
    <n v="4"/>
    <s v="No"/>
    <n v="20"/>
    <n v="4"/>
    <n v="4"/>
    <n v="1"/>
    <n v="8"/>
    <n v="3"/>
    <n v="3"/>
    <n v="5"/>
    <n v="4"/>
    <n v="0"/>
    <n v="3"/>
    <x v="0"/>
    <n v="19188"/>
    <x v="1"/>
    <n v="0"/>
  </r>
  <r>
    <n v="42"/>
    <x v="1"/>
    <s v="Travel_Frequently"/>
    <n v="288"/>
    <x v="1"/>
    <n v="2"/>
    <n v="3"/>
    <s v="Life Sciences"/>
    <n v="1547"/>
    <n v="4"/>
    <s v="Male"/>
    <n v="40"/>
    <n v="3"/>
    <n v="3"/>
    <x v="4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  <x v="1"/>
    <n v="91116"/>
    <x v="0"/>
    <n v="0"/>
  </r>
  <r>
    <n v="40"/>
    <x v="1"/>
    <s v="Travel_Rarely"/>
    <n v="1342"/>
    <x v="0"/>
    <n v="9"/>
    <n v="2"/>
    <s v="Medical"/>
    <n v="1548"/>
    <n v="1"/>
    <s v="Male"/>
    <n v="47"/>
    <n v="3"/>
    <n v="2"/>
    <x v="0"/>
    <n v="1"/>
    <s v="Married"/>
    <n v="5473"/>
    <n v="19345"/>
    <n v="0"/>
    <s v="No"/>
    <n v="12"/>
    <n v="3"/>
    <n v="4"/>
    <n v="0"/>
    <n v="9"/>
    <n v="5"/>
    <n v="4"/>
    <n v="8"/>
    <n v="4"/>
    <n v="7"/>
    <n v="1"/>
    <x v="1"/>
    <n v="49257"/>
    <x v="0"/>
    <n v="0"/>
  </r>
  <r>
    <n v="33"/>
    <x v="1"/>
    <s v="Travel_Rarely"/>
    <n v="589"/>
    <x v="1"/>
    <n v="28"/>
    <n v="4"/>
    <s v="Life Sciences"/>
    <n v="1549"/>
    <n v="2"/>
    <s v="Male"/>
    <n v="79"/>
    <n v="3"/>
    <n v="2"/>
    <x v="2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  <x v="1"/>
    <n v="46863"/>
    <x v="0"/>
    <n v="0"/>
  </r>
  <r>
    <n v="40"/>
    <x v="1"/>
    <s v="Travel_Rarely"/>
    <n v="898"/>
    <x v="2"/>
    <n v="6"/>
    <n v="2"/>
    <s v="Medical"/>
    <n v="1550"/>
    <n v="3"/>
    <s v="Male"/>
    <n v="38"/>
    <n v="3"/>
    <n v="4"/>
    <x v="5"/>
    <n v="4"/>
    <s v="Single"/>
    <n v="16437"/>
    <n v="17381"/>
    <n v="1"/>
    <s v="Yes"/>
    <n v="21"/>
    <n v="4"/>
    <n v="4"/>
    <n v="0"/>
    <n v="21"/>
    <n v="2"/>
    <n v="3"/>
    <n v="21"/>
    <n v="7"/>
    <n v="7"/>
    <n v="7"/>
    <x v="1"/>
    <n v="147933"/>
    <x v="0"/>
    <n v="0"/>
  </r>
  <r>
    <n v="24"/>
    <x v="1"/>
    <s v="Travel_Rarely"/>
    <n v="350"/>
    <x v="1"/>
    <n v="21"/>
    <n v="2"/>
    <s v="Technical Degree"/>
    <n v="1551"/>
    <n v="3"/>
    <s v="Male"/>
    <n v="57"/>
    <n v="2"/>
    <n v="1"/>
    <x v="2"/>
    <n v="1"/>
    <s v="Divorced"/>
    <n v="2296"/>
    <n v="10036"/>
    <n v="0"/>
    <s v="No"/>
    <n v="14"/>
    <n v="3"/>
    <n v="2"/>
    <n v="3"/>
    <n v="2"/>
    <n v="3"/>
    <n v="3"/>
    <n v="1"/>
    <n v="1"/>
    <n v="0"/>
    <n v="0"/>
    <x v="3"/>
    <n v="20664"/>
    <x v="0"/>
    <n v="0"/>
  </r>
  <r>
    <n v="40"/>
    <x v="1"/>
    <s v="Non-Travel"/>
    <n v="1142"/>
    <x v="1"/>
    <n v="8"/>
    <n v="2"/>
    <s v="Life Sciences"/>
    <n v="1552"/>
    <n v="4"/>
    <s v="Male"/>
    <n v="72"/>
    <n v="3"/>
    <n v="2"/>
    <x v="4"/>
    <n v="4"/>
    <s v="Divorced"/>
    <n v="4069"/>
    <n v="8841"/>
    <n v="3"/>
    <s v="Yes"/>
    <n v="18"/>
    <n v="3"/>
    <n v="3"/>
    <n v="0"/>
    <n v="8"/>
    <n v="2"/>
    <n v="3"/>
    <n v="2"/>
    <n v="2"/>
    <n v="2"/>
    <n v="2"/>
    <x v="3"/>
    <n v="36621"/>
    <x v="0"/>
    <n v="0"/>
  </r>
  <r>
    <n v="45"/>
    <x v="1"/>
    <s v="Travel_Rarely"/>
    <n v="538"/>
    <x v="1"/>
    <n v="1"/>
    <n v="4"/>
    <s v="Technical Degree"/>
    <n v="1553"/>
    <n v="1"/>
    <s v="Male"/>
    <n v="66"/>
    <n v="3"/>
    <n v="3"/>
    <x v="4"/>
    <n v="2"/>
    <s v="Divorced"/>
    <n v="7441"/>
    <n v="20933"/>
    <n v="1"/>
    <s v="No"/>
    <n v="12"/>
    <n v="3"/>
    <n v="1"/>
    <n v="3"/>
    <n v="10"/>
    <n v="4"/>
    <n v="3"/>
    <n v="10"/>
    <n v="8"/>
    <n v="7"/>
    <n v="7"/>
    <x v="1"/>
    <n v="66969"/>
    <x v="0"/>
    <n v="0"/>
  </r>
  <r>
    <n v="35"/>
    <x v="1"/>
    <s v="Travel_Rarely"/>
    <n v="1402"/>
    <x v="0"/>
    <n v="28"/>
    <n v="4"/>
    <s v="Life Sciences"/>
    <n v="1554"/>
    <n v="2"/>
    <s v="Female"/>
    <n v="98"/>
    <n v="2"/>
    <n v="1"/>
    <x v="6"/>
    <n v="3"/>
    <s v="Married"/>
    <n v="2430"/>
    <n v="26204"/>
    <n v="0"/>
    <s v="No"/>
    <n v="23"/>
    <n v="4"/>
    <n v="1"/>
    <n v="2"/>
    <n v="6"/>
    <n v="5"/>
    <n v="3"/>
    <n v="5"/>
    <n v="3"/>
    <n v="4"/>
    <n v="2"/>
    <x v="0"/>
    <n v="21870"/>
    <x v="1"/>
    <n v="0"/>
  </r>
  <r>
    <n v="32"/>
    <x v="1"/>
    <s v="Travel_Rarely"/>
    <n v="824"/>
    <x v="1"/>
    <n v="5"/>
    <n v="2"/>
    <s v="Life Sciences"/>
    <n v="1555"/>
    <n v="4"/>
    <s v="Female"/>
    <n v="67"/>
    <n v="2"/>
    <n v="2"/>
    <x v="1"/>
    <n v="2"/>
    <s v="Married"/>
    <n v="5878"/>
    <n v="15624"/>
    <n v="3"/>
    <s v="No"/>
    <n v="12"/>
    <n v="3"/>
    <n v="1"/>
    <n v="1"/>
    <n v="12"/>
    <n v="2"/>
    <n v="3"/>
    <n v="7"/>
    <n v="1"/>
    <n v="2"/>
    <n v="5"/>
    <x v="1"/>
    <n v="52902"/>
    <x v="0"/>
    <n v="0"/>
  </r>
  <r>
    <n v="36"/>
    <x v="1"/>
    <s v="Travel_Rarely"/>
    <n v="1157"/>
    <x v="0"/>
    <n v="2"/>
    <n v="4"/>
    <s v="Life Sciences"/>
    <n v="1556"/>
    <n v="3"/>
    <s v="Male"/>
    <n v="70"/>
    <n v="3"/>
    <n v="1"/>
    <x v="6"/>
    <n v="4"/>
    <s v="Single"/>
    <n v="2644"/>
    <n v="17001"/>
    <n v="3"/>
    <s v="Yes"/>
    <n v="21"/>
    <n v="4"/>
    <n v="4"/>
    <n v="0"/>
    <n v="7"/>
    <n v="3"/>
    <n v="2"/>
    <n v="3"/>
    <n v="2"/>
    <n v="1"/>
    <n v="2"/>
    <x v="3"/>
    <n v="23796"/>
    <x v="0"/>
    <n v="0"/>
  </r>
  <r>
    <n v="48"/>
    <x v="1"/>
    <s v="Travel_Rarely"/>
    <n v="492"/>
    <x v="0"/>
    <n v="16"/>
    <n v="4"/>
    <s v="Life Sciences"/>
    <n v="1557"/>
    <n v="3"/>
    <s v="Female"/>
    <n v="96"/>
    <n v="3"/>
    <n v="2"/>
    <x v="0"/>
    <n v="3"/>
    <s v="Divorced"/>
    <n v="6439"/>
    <n v="13693"/>
    <n v="8"/>
    <s v="No"/>
    <n v="14"/>
    <n v="3"/>
    <n v="3"/>
    <n v="1"/>
    <n v="18"/>
    <n v="2"/>
    <n v="3"/>
    <n v="8"/>
    <n v="7"/>
    <n v="7"/>
    <n v="7"/>
    <x v="1"/>
    <n v="57951"/>
    <x v="1"/>
    <n v="0"/>
  </r>
  <r>
    <n v="29"/>
    <x v="1"/>
    <s v="Travel_Rarely"/>
    <n v="598"/>
    <x v="1"/>
    <n v="9"/>
    <n v="3"/>
    <s v="Life Sciences"/>
    <n v="1558"/>
    <n v="3"/>
    <s v="Male"/>
    <n v="91"/>
    <n v="4"/>
    <n v="1"/>
    <x v="1"/>
    <n v="3"/>
    <s v="Married"/>
    <n v="2451"/>
    <n v="22376"/>
    <n v="6"/>
    <s v="No"/>
    <n v="18"/>
    <n v="3"/>
    <n v="1"/>
    <n v="2"/>
    <n v="5"/>
    <n v="2"/>
    <n v="2"/>
    <n v="1"/>
    <n v="0"/>
    <n v="0"/>
    <n v="0"/>
    <x v="3"/>
    <n v="22059"/>
    <x v="1"/>
    <n v="0"/>
  </r>
  <r>
    <n v="33"/>
    <x v="1"/>
    <s v="Travel_Rarely"/>
    <n v="1242"/>
    <x v="0"/>
    <n v="8"/>
    <n v="4"/>
    <s v="Life Sciences"/>
    <n v="1560"/>
    <n v="1"/>
    <s v="Male"/>
    <n v="46"/>
    <n v="3"/>
    <n v="2"/>
    <x v="0"/>
    <n v="1"/>
    <s v="Married"/>
    <n v="6392"/>
    <n v="10589"/>
    <n v="2"/>
    <s v="No"/>
    <n v="13"/>
    <n v="3"/>
    <n v="4"/>
    <n v="1"/>
    <n v="8"/>
    <n v="6"/>
    <n v="1"/>
    <n v="2"/>
    <n v="2"/>
    <n v="2"/>
    <n v="2"/>
    <x v="3"/>
    <n v="57528"/>
    <x v="0"/>
    <n v="0"/>
  </r>
  <r>
    <n v="30"/>
    <x v="0"/>
    <s v="Travel_Rarely"/>
    <n v="740"/>
    <x v="0"/>
    <n v="1"/>
    <n v="3"/>
    <s v="Life Sciences"/>
    <n v="1562"/>
    <n v="2"/>
    <s v="Male"/>
    <n v="64"/>
    <n v="2"/>
    <n v="2"/>
    <x v="0"/>
    <n v="1"/>
    <s v="Married"/>
    <n v="9714"/>
    <n v="5323"/>
    <n v="1"/>
    <s v="No"/>
    <n v="11"/>
    <n v="3"/>
    <n v="4"/>
    <n v="1"/>
    <n v="10"/>
    <n v="4"/>
    <n v="3"/>
    <n v="10"/>
    <n v="8"/>
    <n v="6"/>
    <n v="7"/>
    <x v="1"/>
    <n v="87426"/>
    <x v="0"/>
    <n v="87426"/>
  </r>
  <r>
    <n v="38"/>
    <x v="1"/>
    <s v="Travel_Frequently"/>
    <n v="888"/>
    <x v="2"/>
    <n v="10"/>
    <n v="4"/>
    <s v="Human Resources"/>
    <n v="1563"/>
    <n v="3"/>
    <s v="Male"/>
    <n v="71"/>
    <n v="3"/>
    <n v="2"/>
    <x v="8"/>
    <n v="3"/>
    <s v="Married"/>
    <n v="6077"/>
    <n v="14814"/>
    <n v="3"/>
    <s v="No"/>
    <n v="11"/>
    <n v="3"/>
    <n v="3"/>
    <n v="0"/>
    <n v="10"/>
    <n v="2"/>
    <n v="3"/>
    <n v="6"/>
    <n v="3"/>
    <n v="1"/>
    <n v="2"/>
    <x v="0"/>
    <n v="54693"/>
    <x v="1"/>
    <n v="0"/>
  </r>
  <r>
    <n v="35"/>
    <x v="1"/>
    <s v="Travel_Rarely"/>
    <n v="992"/>
    <x v="1"/>
    <n v="1"/>
    <n v="3"/>
    <s v="Medical"/>
    <n v="1564"/>
    <n v="4"/>
    <s v="Male"/>
    <n v="68"/>
    <n v="2"/>
    <n v="1"/>
    <x v="2"/>
    <n v="1"/>
    <s v="Single"/>
    <n v="2450"/>
    <n v="21731"/>
    <n v="1"/>
    <s v="No"/>
    <n v="19"/>
    <n v="3"/>
    <n v="2"/>
    <n v="0"/>
    <n v="3"/>
    <n v="3"/>
    <n v="3"/>
    <n v="3"/>
    <n v="0"/>
    <n v="1"/>
    <n v="2"/>
    <x v="3"/>
    <n v="22050"/>
    <x v="0"/>
    <n v="0"/>
  </r>
  <r>
    <n v="30"/>
    <x v="1"/>
    <s v="Travel_Rarely"/>
    <n v="1288"/>
    <x v="0"/>
    <n v="29"/>
    <n v="4"/>
    <s v="Technical Degree"/>
    <n v="1568"/>
    <n v="3"/>
    <s v="Male"/>
    <n v="33"/>
    <n v="3"/>
    <n v="3"/>
    <x v="0"/>
    <n v="2"/>
    <s v="Married"/>
    <n v="9250"/>
    <n v="17799"/>
    <n v="3"/>
    <s v="No"/>
    <n v="12"/>
    <n v="3"/>
    <n v="2"/>
    <n v="1"/>
    <n v="9"/>
    <n v="3"/>
    <n v="3"/>
    <n v="4"/>
    <n v="2"/>
    <n v="1"/>
    <n v="3"/>
    <x v="0"/>
    <n v="83250"/>
    <x v="0"/>
    <n v="0"/>
  </r>
  <r>
    <n v="35"/>
    <x v="0"/>
    <s v="Travel_Rarely"/>
    <n v="104"/>
    <x v="1"/>
    <n v="2"/>
    <n v="3"/>
    <s v="Life Sciences"/>
    <n v="1569"/>
    <n v="1"/>
    <s v="Female"/>
    <n v="69"/>
    <n v="3"/>
    <n v="1"/>
    <x v="2"/>
    <n v="1"/>
    <s v="Divorced"/>
    <n v="2074"/>
    <n v="26619"/>
    <n v="1"/>
    <s v="Yes"/>
    <n v="12"/>
    <n v="3"/>
    <n v="4"/>
    <n v="1"/>
    <n v="1"/>
    <n v="2"/>
    <n v="3"/>
    <n v="1"/>
    <n v="0"/>
    <n v="0"/>
    <n v="0"/>
    <x v="3"/>
    <n v="18666"/>
    <x v="2"/>
    <n v="18666"/>
  </r>
  <r>
    <n v="53"/>
    <x v="0"/>
    <s v="Travel_Rarely"/>
    <n v="607"/>
    <x v="1"/>
    <n v="2"/>
    <n v="5"/>
    <s v="Technical Degree"/>
    <n v="1572"/>
    <n v="3"/>
    <s v="Female"/>
    <n v="78"/>
    <n v="2"/>
    <n v="3"/>
    <x v="3"/>
    <n v="4"/>
    <s v="Married"/>
    <n v="10169"/>
    <n v="14618"/>
    <n v="0"/>
    <s v="No"/>
    <n v="16"/>
    <n v="3"/>
    <n v="2"/>
    <n v="1"/>
    <n v="34"/>
    <n v="4"/>
    <n v="3"/>
    <n v="33"/>
    <n v="7"/>
    <n v="1"/>
    <n v="9"/>
    <x v="1"/>
    <n v="91521"/>
    <x v="1"/>
    <n v="91521"/>
  </r>
  <r>
    <n v="38"/>
    <x v="0"/>
    <s v="Travel_Rarely"/>
    <n v="903"/>
    <x v="1"/>
    <n v="2"/>
    <n v="3"/>
    <s v="Medical"/>
    <n v="1573"/>
    <n v="3"/>
    <s v="Male"/>
    <n v="81"/>
    <n v="3"/>
    <n v="2"/>
    <x v="3"/>
    <n v="2"/>
    <s v="Married"/>
    <n v="4855"/>
    <n v="7653"/>
    <n v="4"/>
    <s v="No"/>
    <n v="11"/>
    <n v="3"/>
    <n v="1"/>
    <n v="2"/>
    <n v="7"/>
    <n v="2"/>
    <n v="3"/>
    <n v="5"/>
    <n v="2"/>
    <n v="1"/>
    <n v="4"/>
    <x v="0"/>
    <n v="43695"/>
    <x v="0"/>
    <n v="43695"/>
  </r>
  <r>
    <n v="32"/>
    <x v="1"/>
    <s v="Non-Travel"/>
    <n v="1200"/>
    <x v="1"/>
    <n v="1"/>
    <n v="4"/>
    <s v="Technical Degree"/>
    <n v="1574"/>
    <n v="4"/>
    <s v="Male"/>
    <n v="62"/>
    <n v="3"/>
    <n v="2"/>
    <x v="1"/>
    <n v="1"/>
    <s v="Married"/>
    <n v="4087"/>
    <n v="25174"/>
    <n v="4"/>
    <s v="No"/>
    <n v="14"/>
    <n v="3"/>
    <n v="2"/>
    <n v="1"/>
    <n v="9"/>
    <n v="3"/>
    <n v="2"/>
    <n v="6"/>
    <n v="5"/>
    <n v="1"/>
    <n v="2"/>
    <x v="0"/>
    <n v="36783"/>
    <x v="0"/>
    <n v="0"/>
  </r>
  <r>
    <n v="48"/>
    <x v="1"/>
    <s v="Travel_Rarely"/>
    <n v="1108"/>
    <x v="1"/>
    <n v="15"/>
    <n v="4"/>
    <s v="Other"/>
    <n v="1576"/>
    <n v="3"/>
    <s v="Female"/>
    <n v="65"/>
    <n v="3"/>
    <n v="1"/>
    <x v="1"/>
    <n v="1"/>
    <s v="Married"/>
    <n v="2367"/>
    <n v="16530"/>
    <n v="8"/>
    <s v="No"/>
    <n v="12"/>
    <n v="3"/>
    <n v="4"/>
    <n v="1"/>
    <n v="10"/>
    <n v="3"/>
    <n v="2"/>
    <n v="8"/>
    <n v="2"/>
    <n v="7"/>
    <n v="6"/>
    <x v="1"/>
    <n v="21303"/>
    <x v="0"/>
    <n v="0"/>
  </r>
  <r>
    <n v="34"/>
    <x v="1"/>
    <s v="Travel_Rarely"/>
    <n v="479"/>
    <x v="1"/>
    <n v="7"/>
    <n v="4"/>
    <s v="Medical"/>
    <n v="1577"/>
    <n v="1"/>
    <s v="Male"/>
    <n v="35"/>
    <n v="3"/>
    <n v="1"/>
    <x v="1"/>
    <n v="4"/>
    <s v="Single"/>
    <n v="2972"/>
    <n v="22061"/>
    <n v="1"/>
    <s v="No"/>
    <n v="13"/>
    <n v="3"/>
    <n v="3"/>
    <n v="0"/>
    <n v="1"/>
    <n v="4"/>
    <n v="1"/>
    <n v="1"/>
    <n v="0"/>
    <n v="0"/>
    <n v="0"/>
    <x v="3"/>
    <n v="26748"/>
    <x v="1"/>
    <n v="0"/>
  </r>
  <r>
    <n v="55"/>
    <x v="1"/>
    <s v="Travel_Rarely"/>
    <n v="685"/>
    <x v="0"/>
    <n v="26"/>
    <n v="5"/>
    <s v="Marketing"/>
    <n v="1578"/>
    <n v="3"/>
    <s v="Male"/>
    <n v="60"/>
    <n v="2"/>
    <n v="5"/>
    <x v="5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  <x v="1"/>
    <n v="176274"/>
    <x v="1"/>
    <n v="0"/>
  </r>
  <r>
    <n v="34"/>
    <x v="1"/>
    <s v="Travel_Rarely"/>
    <n v="1351"/>
    <x v="1"/>
    <n v="1"/>
    <n v="4"/>
    <s v="Life Sciences"/>
    <n v="1580"/>
    <n v="2"/>
    <s v="Male"/>
    <n v="45"/>
    <n v="3"/>
    <n v="2"/>
    <x v="1"/>
    <n v="4"/>
    <s v="Married"/>
    <n v="5484"/>
    <n v="13008"/>
    <n v="9"/>
    <s v="No"/>
    <n v="17"/>
    <n v="3"/>
    <n v="2"/>
    <n v="1"/>
    <n v="9"/>
    <n v="3"/>
    <n v="2"/>
    <n v="2"/>
    <n v="2"/>
    <n v="2"/>
    <n v="1"/>
    <x v="3"/>
    <n v="49356"/>
    <x v="1"/>
    <n v="0"/>
  </r>
  <r>
    <n v="26"/>
    <x v="1"/>
    <s v="Travel_Rarely"/>
    <n v="474"/>
    <x v="1"/>
    <n v="3"/>
    <n v="3"/>
    <s v="Life Sciences"/>
    <n v="1581"/>
    <n v="1"/>
    <s v="Female"/>
    <n v="89"/>
    <n v="3"/>
    <n v="1"/>
    <x v="1"/>
    <n v="4"/>
    <s v="Married"/>
    <n v="2061"/>
    <n v="11133"/>
    <n v="1"/>
    <s v="No"/>
    <n v="21"/>
    <n v="4"/>
    <n v="1"/>
    <n v="0"/>
    <n v="1"/>
    <n v="5"/>
    <n v="3"/>
    <n v="1"/>
    <n v="0"/>
    <n v="0"/>
    <n v="0"/>
    <x v="3"/>
    <n v="18549"/>
    <x v="1"/>
    <n v="0"/>
  </r>
  <r>
    <n v="38"/>
    <x v="1"/>
    <s v="Travel_Rarely"/>
    <n v="1245"/>
    <x v="0"/>
    <n v="14"/>
    <n v="3"/>
    <s v="Life Sciences"/>
    <n v="1582"/>
    <n v="3"/>
    <s v="Male"/>
    <n v="80"/>
    <n v="3"/>
    <n v="2"/>
    <x v="0"/>
    <n v="2"/>
    <s v="Married"/>
    <n v="9924"/>
    <n v="12355"/>
    <n v="0"/>
    <s v="No"/>
    <n v="11"/>
    <n v="3"/>
    <n v="4"/>
    <n v="1"/>
    <n v="10"/>
    <n v="3"/>
    <n v="3"/>
    <n v="9"/>
    <n v="8"/>
    <n v="7"/>
    <n v="7"/>
    <x v="1"/>
    <n v="89316"/>
    <x v="0"/>
    <n v="0"/>
  </r>
  <r>
    <n v="38"/>
    <x v="1"/>
    <s v="Travel_Rarely"/>
    <n v="437"/>
    <x v="0"/>
    <n v="16"/>
    <n v="3"/>
    <s v="Life Sciences"/>
    <n v="1583"/>
    <n v="2"/>
    <s v="Female"/>
    <n v="90"/>
    <n v="3"/>
    <n v="2"/>
    <x v="0"/>
    <n v="2"/>
    <s v="Single"/>
    <n v="4198"/>
    <n v="16379"/>
    <n v="2"/>
    <s v="No"/>
    <n v="12"/>
    <n v="3"/>
    <n v="2"/>
    <n v="0"/>
    <n v="8"/>
    <n v="5"/>
    <n v="4"/>
    <n v="3"/>
    <n v="2"/>
    <n v="1"/>
    <n v="2"/>
    <x v="3"/>
    <n v="37782"/>
    <x v="0"/>
    <n v="0"/>
  </r>
  <r>
    <n v="36"/>
    <x v="1"/>
    <s v="Travel_Rarely"/>
    <n v="884"/>
    <x v="0"/>
    <n v="1"/>
    <n v="4"/>
    <s v="Life Sciences"/>
    <n v="1585"/>
    <n v="2"/>
    <s v="Female"/>
    <n v="73"/>
    <n v="3"/>
    <n v="2"/>
    <x v="0"/>
    <n v="3"/>
    <s v="Single"/>
    <n v="6815"/>
    <n v="21447"/>
    <n v="6"/>
    <s v="No"/>
    <n v="13"/>
    <n v="3"/>
    <n v="1"/>
    <n v="0"/>
    <n v="15"/>
    <n v="5"/>
    <n v="3"/>
    <n v="1"/>
    <n v="0"/>
    <n v="0"/>
    <n v="0"/>
    <x v="3"/>
    <n v="61335"/>
    <x v="1"/>
    <n v="0"/>
  </r>
  <r>
    <n v="29"/>
    <x v="1"/>
    <s v="Travel_Rarely"/>
    <n v="1370"/>
    <x v="1"/>
    <n v="3"/>
    <n v="1"/>
    <s v="Medical"/>
    <n v="1586"/>
    <n v="2"/>
    <s v="Male"/>
    <n v="87"/>
    <n v="3"/>
    <n v="1"/>
    <x v="2"/>
    <n v="1"/>
    <s v="Single"/>
    <n v="4723"/>
    <n v="16213"/>
    <n v="1"/>
    <s v="Yes"/>
    <n v="18"/>
    <n v="3"/>
    <n v="4"/>
    <n v="0"/>
    <n v="10"/>
    <n v="3"/>
    <n v="3"/>
    <n v="10"/>
    <n v="9"/>
    <n v="1"/>
    <n v="5"/>
    <x v="1"/>
    <n v="42507"/>
    <x v="0"/>
    <n v="0"/>
  </r>
  <r>
    <n v="35"/>
    <x v="1"/>
    <s v="Travel_Rarely"/>
    <n v="670"/>
    <x v="1"/>
    <n v="10"/>
    <n v="4"/>
    <s v="Medical"/>
    <n v="1587"/>
    <n v="1"/>
    <s v="Female"/>
    <n v="51"/>
    <n v="3"/>
    <n v="2"/>
    <x v="4"/>
    <n v="3"/>
    <s v="Single"/>
    <n v="6142"/>
    <n v="4223"/>
    <n v="3"/>
    <s v="Yes"/>
    <n v="16"/>
    <n v="3"/>
    <n v="3"/>
    <n v="0"/>
    <n v="10"/>
    <n v="4"/>
    <n v="3"/>
    <n v="5"/>
    <n v="2"/>
    <n v="0"/>
    <n v="4"/>
    <x v="0"/>
    <n v="55278"/>
    <x v="0"/>
    <n v="0"/>
  </r>
  <r>
    <n v="39"/>
    <x v="1"/>
    <s v="Travel_Rarely"/>
    <n v="1462"/>
    <x v="0"/>
    <n v="6"/>
    <n v="3"/>
    <s v="Medical"/>
    <n v="1588"/>
    <n v="4"/>
    <s v="Male"/>
    <n v="38"/>
    <n v="4"/>
    <n v="3"/>
    <x v="0"/>
    <n v="3"/>
    <s v="Married"/>
    <n v="8237"/>
    <n v="4658"/>
    <n v="2"/>
    <s v="No"/>
    <n v="11"/>
    <n v="3"/>
    <n v="1"/>
    <n v="1"/>
    <n v="11"/>
    <n v="3"/>
    <n v="3"/>
    <n v="7"/>
    <n v="6"/>
    <n v="7"/>
    <n v="6"/>
    <x v="1"/>
    <n v="74133"/>
    <x v="1"/>
    <n v="0"/>
  </r>
  <r>
    <n v="29"/>
    <x v="1"/>
    <s v="Travel_Frequently"/>
    <n v="995"/>
    <x v="1"/>
    <n v="2"/>
    <n v="1"/>
    <s v="Life Sciences"/>
    <n v="1590"/>
    <n v="1"/>
    <s v="Male"/>
    <n v="87"/>
    <n v="3"/>
    <n v="2"/>
    <x v="4"/>
    <n v="4"/>
    <s v="Divorced"/>
    <n v="8853"/>
    <n v="24483"/>
    <n v="1"/>
    <s v="No"/>
    <n v="19"/>
    <n v="3"/>
    <n v="4"/>
    <n v="1"/>
    <n v="6"/>
    <n v="0"/>
    <n v="4"/>
    <n v="6"/>
    <n v="4"/>
    <n v="1"/>
    <n v="3"/>
    <x v="0"/>
    <n v="79677"/>
    <x v="1"/>
    <n v="0"/>
  </r>
  <r>
    <n v="50"/>
    <x v="1"/>
    <s v="Travel_Rarely"/>
    <n v="264"/>
    <x v="0"/>
    <n v="9"/>
    <n v="3"/>
    <s v="Marketing"/>
    <n v="1591"/>
    <n v="3"/>
    <s v="Male"/>
    <n v="59"/>
    <n v="3"/>
    <n v="5"/>
    <x v="5"/>
    <n v="3"/>
    <s v="Married"/>
    <n v="19331"/>
    <n v="19519"/>
    <n v="4"/>
    <s v="Yes"/>
    <n v="16"/>
    <n v="3"/>
    <n v="3"/>
    <n v="1"/>
    <n v="27"/>
    <n v="2"/>
    <n v="3"/>
    <n v="1"/>
    <n v="0"/>
    <n v="0"/>
    <n v="0"/>
    <x v="3"/>
    <n v="173979"/>
    <x v="0"/>
    <n v="0"/>
  </r>
  <r>
    <n v="23"/>
    <x v="1"/>
    <s v="Travel_Rarely"/>
    <n v="977"/>
    <x v="1"/>
    <n v="10"/>
    <n v="3"/>
    <s v="Technical Degree"/>
    <n v="1592"/>
    <n v="4"/>
    <s v="Male"/>
    <n v="45"/>
    <n v="4"/>
    <n v="1"/>
    <x v="1"/>
    <n v="3"/>
    <s v="Married"/>
    <n v="2073"/>
    <n v="12826"/>
    <n v="2"/>
    <s v="No"/>
    <n v="16"/>
    <n v="3"/>
    <n v="4"/>
    <n v="1"/>
    <n v="4"/>
    <n v="2"/>
    <n v="3"/>
    <n v="2"/>
    <n v="2"/>
    <n v="2"/>
    <n v="2"/>
    <x v="3"/>
    <n v="18657"/>
    <x v="1"/>
    <n v="0"/>
  </r>
  <r>
    <n v="36"/>
    <x v="1"/>
    <s v="Travel_Frequently"/>
    <n v="1302"/>
    <x v="1"/>
    <n v="6"/>
    <n v="4"/>
    <s v="Life Sciences"/>
    <n v="1594"/>
    <n v="1"/>
    <s v="Male"/>
    <n v="80"/>
    <n v="4"/>
    <n v="2"/>
    <x v="2"/>
    <n v="1"/>
    <s v="Married"/>
    <n v="5562"/>
    <n v="19711"/>
    <n v="3"/>
    <s v="Yes"/>
    <n v="13"/>
    <n v="3"/>
    <n v="4"/>
    <n v="1"/>
    <n v="9"/>
    <n v="3"/>
    <n v="3"/>
    <n v="3"/>
    <n v="2"/>
    <n v="0"/>
    <n v="2"/>
    <x v="3"/>
    <n v="50058"/>
    <x v="2"/>
    <n v="0"/>
  </r>
  <r>
    <n v="42"/>
    <x v="1"/>
    <s v="Travel_Rarely"/>
    <n v="1059"/>
    <x v="1"/>
    <n v="9"/>
    <n v="2"/>
    <s v="Other"/>
    <n v="1595"/>
    <n v="4"/>
    <s v="Male"/>
    <n v="93"/>
    <n v="2"/>
    <n v="5"/>
    <x v="5"/>
    <n v="4"/>
    <s v="Single"/>
    <n v="19613"/>
    <n v="26362"/>
    <n v="8"/>
    <s v="No"/>
    <n v="22"/>
    <n v="4"/>
    <n v="4"/>
    <n v="0"/>
    <n v="24"/>
    <n v="2"/>
    <n v="3"/>
    <n v="1"/>
    <n v="0"/>
    <n v="0"/>
    <n v="1"/>
    <x v="3"/>
    <n v="176517"/>
    <x v="1"/>
    <n v="0"/>
  </r>
  <r>
    <n v="35"/>
    <x v="1"/>
    <s v="Travel_Rarely"/>
    <n v="750"/>
    <x v="1"/>
    <n v="28"/>
    <n v="3"/>
    <s v="Life Sciences"/>
    <n v="1596"/>
    <n v="2"/>
    <s v="Male"/>
    <n v="46"/>
    <n v="4"/>
    <n v="2"/>
    <x v="2"/>
    <n v="3"/>
    <s v="Married"/>
    <n v="3407"/>
    <n v="25348"/>
    <n v="1"/>
    <s v="No"/>
    <n v="17"/>
    <n v="3"/>
    <n v="4"/>
    <n v="2"/>
    <n v="10"/>
    <n v="3"/>
    <n v="2"/>
    <n v="10"/>
    <n v="9"/>
    <n v="6"/>
    <n v="8"/>
    <x v="1"/>
    <n v="30663"/>
    <x v="1"/>
    <n v="0"/>
  </r>
  <r>
    <n v="34"/>
    <x v="1"/>
    <s v="Travel_Frequently"/>
    <n v="653"/>
    <x v="1"/>
    <n v="10"/>
    <n v="4"/>
    <s v="Technical Degree"/>
    <n v="1597"/>
    <n v="4"/>
    <s v="Male"/>
    <n v="92"/>
    <n v="2"/>
    <n v="2"/>
    <x v="4"/>
    <n v="3"/>
    <s v="Married"/>
    <n v="5063"/>
    <n v="15332"/>
    <n v="1"/>
    <s v="No"/>
    <n v="14"/>
    <n v="3"/>
    <n v="2"/>
    <n v="1"/>
    <n v="8"/>
    <n v="3"/>
    <n v="2"/>
    <n v="8"/>
    <n v="2"/>
    <n v="7"/>
    <n v="7"/>
    <x v="1"/>
    <n v="45567"/>
    <x v="1"/>
    <n v="0"/>
  </r>
  <r>
    <n v="40"/>
    <x v="1"/>
    <s v="Travel_Rarely"/>
    <n v="118"/>
    <x v="0"/>
    <n v="14"/>
    <n v="2"/>
    <s v="Life Sciences"/>
    <n v="1598"/>
    <n v="4"/>
    <s v="Female"/>
    <n v="84"/>
    <n v="3"/>
    <n v="2"/>
    <x v="0"/>
    <n v="1"/>
    <s v="Married"/>
    <n v="4639"/>
    <n v="11262"/>
    <n v="1"/>
    <s v="No"/>
    <n v="15"/>
    <n v="3"/>
    <n v="3"/>
    <n v="1"/>
    <n v="5"/>
    <n v="2"/>
    <n v="3"/>
    <n v="5"/>
    <n v="4"/>
    <n v="1"/>
    <n v="2"/>
    <x v="0"/>
    <n v="41751"/>
    <x v="0"/>
    <n v="0"/>
  </r>
  <r>
    <n v="43"/>
    <x v="1"/>
    <s v="Travel_Rarely"/>
    <n v="990"/>
    <x v="1"/>
    <n v="27"/>
    <n v="3"/>
    <s v="Technical Degree"/>
    <n v="1599"/>
    <n v="4"/>
    <s v="Male"/>
    <n v="87"/>
    <n v="4"/>
    <n v="1"/>
    <x v="2"/>
    <n v="2"/>
    <s v="Divorced"/>
    <n v="4876"/>
    <n v="5855"/>
    <n v="5"/>
    <s v="No"/>
    <n v="12"/>
    <n v="3"/>
    <n v="3"/>
    <n v="1"/>
    <n v="8"/>
    <n v="0"/>
    <n v="3"/>
    <n v="6"/>
    <n v="4"/>
    <n v="0"/>
    <n v="2"/>
    <x v="0"/>
    <n v="43884"/>
    <x v="0"/>
    <n v="0"/>
  </r>
  <r>
    <n v="35"/>
    <x v="1"/>
    <s v="Travel_Rarely"/>
    <n v="1349"/>
    <x v="1"/>
    <n v="7"/>
    <n v="2"/>
    <s v="Life Sciences"/>
    <n v="1601"/>
    <n v="3"/>
    <s v="Male"/>
    <n v="63"/>
    <n v="2"/>
    <n v="1"/>
    <x v="2"/>
    <n v="4"/>
    <s v="Married"/>
    <n v="2690"/>
    <n v="7713"/>
    <n v="1"/>
    <s v="No"/>
    <n v="18"/>
    <n v="3"/>
    <n v="4"/>
    <n v="1"/>
    <n v="1"/>
    <n v="5"/>
    <n v="2"/>
    <n v="1"/>
    <n v="0"/>
    <n v="0"/>
    <n v="1"/>
    <x v="3"/>
    <n v="24210"/>
    <x v="1"/>
    <n v="0"/>
  </r>
  <r>
    <n v="46"/>
    <x v="1"/>
    <s v="Travel_Rarely"/>
    <n v="563"/>
    <x v="0"/>
    <n v="1"/>
    <n v="4"/>
    <s v="Life Sciences"/>
    <n v="1602"/>
    <n v="4"/>
    <s v="Male"/>
    <n v="56"/>
    <n v="4"/>
    <n v="4"/>
    <x v="5"/>
    <n v="1"/>
    <s v="Single"/>
    <n v="17567"/>
    <n v="3156"/>
    <n v="1"/>
    <s v="No"/>
    <n v="15"/>
    <n v="3"/>
    <n v="2"/>
    <n v="0"/>
    <n v="27"/>
    <n v="5"/>
    <n v="1"/>
    <n v="26"/>
    <n v="0"/>
    <n v="0"/>
    <n v="12"/>
    <x v="1"/>
    <n v="158103"/>
    <x v="0"/>
    <n v="0"/>
  </r>
  <r>
    <n v="28"/>
    <x v="0"/>
    <s v="Travel_Rarely"/>
    <n v="329"/>
    <x v="1"/>
    <n v="24"/>
    <n v="3"/>
    <s v="Medical"/>
    <n v="1604"/>
    <n v="3"/>
    <s v="Male"/>
    <n v="51"/>
    <n v="3"/>
    <n v="1"/>
    <x v="2"/>
    <n v="2"/>
    <s v="Married"/>
    <n v="2408"/>
    <n v="7324"/>
    <n v="1"/>
    <s v="Yes"/>
    <n v="17"/>
    <n v="3"/>
    <n v="3"/>
    <n v="3"/>
    <n v="1"/>
    <n v="3"/>
    <n v="3"/>
    <n v="1"/>
    <n v="1"/>
    <n v="0"/>
    <n v="0"/>
    <x v="3"/>
    <n v="21672"/>
    <x v="2"/>
    <n v="21672"/>
  </r>
  <r>
    <n v="22"/>
    <x v="1"/>
    <s v="Non-Travel"/>
    <n v="457"/>
    <x v="1"/>
    <n v="26"/>
    <n v="2"/>
    <s v="Other"/>
    <n v="1605"/>
    <n v="2"/>
    <s v="Female"/>
    <n v="85"/>
    <n v="2"/>
    <n v="1"/>
    <x v="1"/>
    <n v="3"/>
    <s v="Married"/>
    <n v="2814"/>
    <n v="10293"/>
    <n v="1"/>
    <s v="Yes"/>
    <n v="14"/>
    <n v="3"/>
    <n v="2"/>
    <n v="0"/>
    <n v="4"/>
    <n v="2"/>
    <n v="2"/>
    <n v="4"/>
    <n v="2"/>
    <n v="1"/>
    <n v="3"/>
    <x v="0"/>
    <n v="25326"/>
    <x v="0"/>
    <n v="0"/>
  </r>
  <r>
    <n v="50"/>
    <x v="1"/>
    <s v="Travel_Frequently"/>
    <n v="1234"/>
    <x v="1"/>
    <n v="20"/>
    <n v="5"/>
    <s v="Medical"/>
    <n v="1606"/>
    <n v="2"/>
    <s v="Male"/>
    <n v="41"/>
    <n v="3"/>
    <n v="4"/>
    <x v="4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  <x v="1"/>
    <n v="101205"/>
    <x v="0"/>
    <n v="0"/>
  </r>
  <r>
    <n v="32"/>
    <x v="1"/>
    <s v="Travel_Rarely"/>
    <n v="634"/>
    <x v="1"/>
    <n v="5"/>
    <n v="4"/>
    <s v="Other"/>
    <n v="1607"/>
    <n v="2"/>
    <s v="Female"/>
    <n v="35"/>
    <n v="4"/>
    <n v="1"/>
    <x v="1"/>
    <n v="4"/>
    <s v="Married"/>
    <n v="3312"/>
    <n v="18783"/>
    <n v="3"/>
    <s v="No"/>
    <n v="17"/>
    <n v="3"/>
    <n v="4"/>
    <n v="2"/>
    <n v="6"/>
    <n v="3"/>
    <n v="3"/>
    <n v="3"/>
    <n v="2"/>
    <n v="0"/>
    <n v="2"/>
    <x v="3"/>
    <n v="29808"/>
    <x v="1"/>
    <n v="0"/>
  </r>
  <r>
    <n v="44"/>
    <x v="1"/>
    <s v="Travel_Rarely"/>
    <n v="1313"/>
    <x v="1"/>
    <n v="7"/>
    <n v="3"/>
    <s v="Medical"/>
    <n v="1608"/>
    <n v="2"/>
    <s v="Female"/>
    <n v="31"/>
    <n v="3"/>
    <n v="5"/>
    <x v="7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  <x v="1"/>
    <n v="171441"/>
    <x v="0"/>
    <n v="0"/>
  </r>
  <r>
    <n v="30"/>
    <x v="1"/>
    <s v="Travel_Rarely"/>
    <n v="241"/>
    <x v="1"/>
    <n v="7"/>
    <n v="3"/>
    <s v="Medical"/>
    <n v="1609"/>
    <n v="2"/>
    <s v="Male"/>
    <n v="48"/>
    <n v="2"/>
    <n v="1"/>
    <x v="1"/>
    <n v="2"/>
    <s v="Married"/>
    <n v="2141"/>
    <n v="5348"/>
    <n v="1"/>
    <s v="No"/>
    <n v="12"/>
    <n v="3"/>
    <n v="2"/>
    <n v="1"/>
    <n v="6"/>
    <n v="3"/>
    <n v="2"/>
    <n v="6"/>
    <n v="4"/>
    <n v="1"/>
    <n v="1"/>
    <x v="0"/>
    <n v="19269"/>
    <x v="0"/>
    <n v="0"/>
  </r>
  <r>
    <n v="45"/>
    <x v="1"/>
    <s v="Travel_Rarely"/>
    <n v="1015"/>
    <x v="1"/>
    <n v="5"/>
    <n v="5"/>
    <s v="Medical"/>
    <n v="1611"/>
    <n v="3"/>
    <s v="Female"/>
    <n v="50"/>
    <n v="1"/>
    <n v="2"/>
    <x v="2"/>
    <n v="1"/>
    <s v="Single"/>
    <n v="5769"/>
    <n v="23447"/>
    <n v="1"/>
    <s v="Yes"/>
    <n v="14"/>
    <n v="3"/>
    <n v="1"/>
    <n v="0"/>
    <n v="10"/>
    <n v="3"/>
    <n v="3"/>
    <n v="10"/>
    <n v="7"/>
    <n v="1"/>
    <n v="4"/>
    <x v="1"/>
    <n v="51921"/>
    <x v="0"/>
    <n v="0"/>
  </r>
  <r>
    <n v="45"/>
    <x v="1"/>
    <s v="Non-Travel"/>
    <n v="336"/>
    <x v="0"/>
    <n v="26"/>
    <n v="3"/>
    <s v="Marketing"/>
    <n v="1612"/>
    <n v="1"/>
    <s v="Male"/>
    <n v="52"/>
    <n v="2"/>
    <n v="2"/>
    <x v="0"/>
    <n v="1"/>
    <s v="Married"/>
    <n v="4385"/>
    <n v="24162"/>
    <n v="1"/>
    <s v="No"/>
    <n v="15"/>
    <n v="3"/>
    <n v="1"/>
    <n v="1"/>
    <n v="10"/>
    <n v="2"/>
    <n v="3"/>
    <n v="10"/>
    <n v="7"/>
    <n v="4"/>
    <n v="5"/>
    <x v="1"/>
    <n v="39465"/>
    <x v="0"/>
    <n v="0"/>
  </r>
  <r>
    <n v="31"/>
    <x v="1"/>
    <s v="Travel_Frequently"/>
    <n v="715"/>
    <x v="0"/>
    <n v="2"/>
    <n v="4"/>
    <s v="Other"/>
    <n v="1613"/>
    <n v="4"/>
    <s v="Male"/>
    <n v="54"/>
    <n v="3"/>
    <n v="2"/>
    <x v="0"/>
    <n v="1"/>
    <s v="Single"/>
    <n v="5332"/>
    <n v="21602"/>
    <n v="7"/>
    <s v="No"/>
    <n v="13"/>
    <n v="3"/>
    <n v="4"/>
    <n v="0"/>
    <n v="10"/>
    <n v="3"/>
    <n v="3"/>
    <n v="5"/>
    <n v="2"/>
    <n v="0"/>
    <n v="3"/>
    <x v="0"/>
    <n v="47988"/>
    <x v="0"/>
    <n v="0"/>
  </r>
  <r>
    <n v="36"/>
    <x v="1"/>
    <s v="Travel_Rarely"/>
    <n v="559"/>
    <x v="1"/>
    <n v="12"/>
    <n v="4"/>
    <s v="Life Sciences"/>
    <n v="1614"/>
    <n v="3"/>
    <s v="Female"/>
    <n v="76"/>
    <n v="3"/>
    <n v="2"/>
    <x v="3"/>
    <n v="3"/>
    <s v="Married"/>
    <n v="4663"/>
    <n v="12421"/>
    <n v="9"/>
    <s v="Yes"/>
    <n v="12"/>
    <n v="3"/>
    <n v="2"/>
    <n v="2"/>
    <n v="7"/>
    <n v="2"/>
    <n v="3"/>
    <n v="3"/>
    <n v="2"/>
    <n v="1"/>
    <n v="1"/>
    <x v="3"/>
    <n v="41967"/>
    <x v="0"/>
    <n v="0"/>
  </r>
  <r>
    <n v="34"/>
    <x v="1"/>
    <s v="Travel_Frequently"/>
    <n v="426"/>
    <x v="1"/>
    <n v="10"/>
    <n v="4"/>
    <s v="Life Sciences"/>
    <n v="1615"/>
    <n v="3"/>
    <s v="Male"/>
    <n v="42"/>
    <n v="4"/>
    <n v="2"/>
    <x v="3"/>
    <n v="4"/>
    <s v="Divorced"/>
    <n v="4724"/>
    <n v="17000"/>
    <n v="1"/>
    <s v="No"/>
    <n v="13"/>
    <n v="3"/>
    <n v="1"/>
    <n v="1"/>
    <n v="9"/>
    <n v="3"/>
    <n v="3"/>
    <n v="9"/>
    <n v="7"/>
    <n v="7"/>
    <n v="2"/>
    <x v="1"/>
    <n v="42516"/>
    <x v="1"/>
    <n v="0"/>
  </r>
  <r>
    <n v="49"/>
    <x v="1"/>
    <s v="Travel_Rarely"/>
    <n v="722"/>
    <x v="1"/>
    <n v="25"/>
    <n v="4"/>
    <s v="Life Sciences"/>
    <n v="1617"/>
    <n v="3"/>
    <s v="Female"/>
    <n v="84"/>
    <n v="3"/>
    <n v="1"/>
    <x v="2"/>
    <n v="1"/>
    <s v="Married"/>
    <n v="3211"/>
    <n v="22102"/>
    <n v="1"/>
    <s v="No"/>
    <n v="14"/>
    <n v="3"/>
    <n v="4"/>
    <n v="1"/>
    <n v="10"/>
    <n v="3"/>
    <n v="2"/>
    <n v="9"/>
    <n v="6"/>
    <n v="1"/>
    <n v="4"/>
    <x v="1"/>
    <n v="28899"/>
    <x v="0"/>
    <n v="0"/>
  </r>
  <r>
    <n v="39"/>
    <x v="1"/>
    <s v="Travel_Rarely"/>
    <n v="1387"/>
    <x v="1"/>
    <n v="10"/>
    <n v="5"/>
    <s v="Medical"/>
    <n v="1618"/>
    <n v="2"/>
    <s v="Male"/>
    <n v="76"/>
    <n v="3"/>
    <n v="2"/>
    <x v="3"/>
    <n v="1"/>
    <s v="Married"/>
    <n v="5377"/>
    <n v="3835"/>
    <n v="2"/>
    <s v="No"/>
    <n v="13"/>
    <n v="3"/>
    <n v="4"/>
    <n v="3"/>
    <n v="10"/>
    <n v="3"/>
    <n v="3"/>
    <n v="7"/>
    <n v="7"/>
    <n v="7"/>
    <n v="7"/>
    <x v="1"/>
    <n v="48393"/>
    <x v="0"/>
    <n v="0"/>
  </r>
  <r>
    <n v="27"/>
    <x v="1"/>
    <s v="Travel_Rarely"/>
    <n v="1302"/>
    <x v="1"/>
    <n v="19"/>
    <n v="3"/>
    <s v="Other"/>
    <n v="1619"/>
    <n v="4"/>
    <s v="Male"/>
    <n v="67"/>
    <n v="2"/>
    <n v="1"/>
    <x v="2"/>
    <n v="1"/>
    <s v="Divorced"/>
    <n v="4066"/>
    <n v="16290"/>
    <n v="1"/>
    <s v="No"/>
    <n v="11"/>
    <n v="3"/>
    <n v="1"/>
    <n v="2"/>
    <n v="7"/>
    <n v="3"/>
    <n v="3"/>
    <n v="7"/>
    <n v="7"/>
    <n v="0"/>
    <n v="7"/>
    <x v="1"/>
    <n v="36594"/>
    <x v="0"/>
    <n v="0"/>
  </r>
  <r>
    <n v="35"/>
    <x v="1"/>
    <s v="Travel_Rarely"/>
    <n v="819"/>
    <x v="1"/>
    <n v="18"/>
    <n v="5"/>
    <s v="Life Sciences"/>
    <n v="1621"/>
    <n v="2"/>
    <s v="Male"/>
    <n v="48"/>
    <n v="4"/>
    <n v="2"/>
    <x v="1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  <x v="1"/>
    <n v="46872"/>
    <x v="0"/>
    <n v="0"/>
  </r>
  <r>
    <n v="28"/>
    <x v="1"/>
    <s v="Travel_Rarely"/>
    <n v="580"/>
    <x v="1"/>
    <n v="27"/>
    <n v="3"/>
    <s v="Medical"/>
    <n v="1622"/>
    <n v="2"/>
    <s v="Female"/>
    <n v="39"/>
    <n v="1"/>
    <n v="2"/>
    <x v="3"/>
    <n v="1"/>
    <s v="Divorced"/>
    <n v="4877"/>
    <n v="20460"/>
    <n v="0"/>
    <s v="No"/>
    <n v="21"/>
    <n v="4"/>
    <n v="2"/>
    <n v="1"/>
    <n v="6"/>
    <n v="5"/>
    <n v="2"/>
    <n v="5"/>
    <n v="3"/>
    <n v="0"/>
    <n v="0"/>
    <x v="0"/>
    <n v="43893"/>
    <x v="0"/>
    <n v="0"/>
  </r>
  <r>
    <n v="21"/>
    <x v="1"/>
    <s v="Travel_Rarely"/>
    <n v="546"/>
    <x v="1"/>
    <n v="5"/>
    <n v="1"/>
    <s v="Medical"/>
    <n v="1623"/>
    <n v="3"/>
    <s v="Male"/>
    <n v="97"/>
    <n v="3"/>
    <n v="1"/>
    <x v="1"/>
    <n v="4"/>
    <s v="Single"/>
    <n v="3117"/>
    <n v="26009"/>
    <n v="1"/>
    <s v="No"/>
    <n v="18"/>
    <n v="3"/>
    <n v="3"/>
    <n v="0"/>
    <n v="3"/>
    <n v="2"/>
    <n v="3"/>
    <n v="2"/>
    <n v="2"/>
    <n v="2"/>
    <n v="2"/>
    <x v="3"/>
    <n v="28053"/>
    <x v="1"/>
    <n v="0"/>
  </r>
  <r>
    <n v="18"/>
    <x v="0"/>
    <s v="Travel_Frequently"/>
    <n v="544"/>
    <x v="0"/>
    <n v="3"/>
    <n v="2"/>
    <s v="Medical"/>
    <n v="1624"/>
    <n v="2"/>
    <s v="Female"/>
    <n v="70"/>
    <n v="3"/>
    <n v="1"/>
    <x v="6"/>
    <n v="4"/>
    <s v="Single"/>
    <n v="1569"/>
    <n v="18420"/>
    <n v="1"/>
    <s v="Yes"/>
    <n v="12"/>
    <n v="3"/>
    <n v="3"/>
    <n v="0"/>
    <n v="0"/>
    <n v="2"/>
    <n v="4"/>
    <n v="0"/>
    <n v="0"/>
    <n v="0"/>
    <n v="0"/>
    <x v="2"/>
    <n v="14121"/>
    <x v="0"/>
    <n v="14121"/>
  </r>
  <r>
    <n v="47"/>
    <x v="1"/>
    <s v="Travel_Rarely"/>
    <n v="1176"/>
    <x v="2"/>
    <n v="26"/>
    <n v="4"/>
    <s v="Life Sciences"/>
    <n v="1625"/>
    <n v="4"/>
    <s v="Female"/>
    <n v="98"/>
    <n v="3"/>
    <n v="5"/>
    <x v="5"/>
    <n v="3"/>
    <s v="Married"/>
    <n v="19658"/>
    <n v="5220"/>
    <n v="3"/>
    <s v="No"/>
    <n v="11"/>
    <n v="3"/>
    <n v="3"/>
    <n v="1"/>
    <n v="27"/>
    <n v="2"/>
    <n v="3"/>
    <n v="5"/>
    <n v="2"/>
    <n v="1"/>
    <n v="0"/>
    <x v="0"/>
    <n v="176922"/>
    <x v="1"/>
    <n v="0"/>
  </r>
  <r>
    <n v="39"/>
    <x v="1"/>
    <s v="Travel_Rarely"/>
    <n v="170"/>
    <x v="1"/>
    <n v="3"/>
    <n v="2"/>
    <s v="Medical"/>
    <n v="1627"/>
    <n v="3"/>
    <s v="Male"/>
    <n v="76"/>
    <n v="2"/>
    <n v="2"/>
    <x v="2"/>
    <n v="3"/>
    <s v="Divorced"/>
    <n v="3069"/>
    <n v="10302"/>
    <n v="0"/>
    <s v="No"/>
    <n v="15"/>
    <n v="3"/>
    <n v="4"/>
    <n v="1"/>
    <n v="11"/>
    <n v="3"/>
    <n v="3"/>
    <n v="10"/>
    <n v="8"/>
    <n v="0"/>
    <n v="7"/>
    <x v="1"/>
    <n v="27621"/>
    <x v="1"/>
    <n v="0"/>
  </r>
  <r>
    <n v="40"/>
    <x v="1"/>
    <s v="Travel_Rarely"/>
    <n v="884"/>
    <x v="1"/>
    <n v="15"/>
    <n v="3"/>
    <s v="Life Sciences"/>
    <n v="1628"/>
    <n v="1"/>
    <s v="Female"/>
    <n v="80"/>
    <n v="2"/>
    <n v="3"/>
    <x v="3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  <x v="1"/>
    <n v="93915"/>
    <x v="1"/>
    <n v="0"/>
  </r>
  <r>
    <n v="35"/>
    <x v="1"/>
    <s v="Non-Travel"/>
    <n v="208"/>
    <x v="1"/>
    <n v="8"/>
    <n v="4"/>
    <s v="Life Sciences"/>
    <n v="1630"/>
    <n v="3"/>
    <s v="Female"/>
    <n v="52"/>
    <n v="3"/>
    <n v="2"/>
    <x v="4"/>
    <n v="3"/>
    <s v="Married"/>
    <n v="4148"/>
    <n v="12250"/>
    <n v="1"/>
    <s v="No"/>
    <n v="12"/>
    <n v="3"/>
    <n v="4"/>
    <n v="1"/>
    <n v="15"/>
    <n v="5"/>
    <n v="3"/>
    <n v="14"/>
    <n v="11"/>
    <n v="2"/>
    <n v="9"/>
    <x v="1"/>
    <n v="37332"/>
    <x v="1"/>
    <n v="0"/>
  </r>
  <r>
    <n v="37"/>
    <x v="1"/>
    <s v="Travel_Rarely"/>
    <n v="671"/>
    <x v="1"/>
    <n v="19"/>
    <n v="3"/>
    <s v="Life Sciences"/>
    <n v="1631"/>
    <n v="3"/>
    <s v="Male"/>
    <n v="85"/>
    <n v="3"/>
    <n v="2"/>
    <x v="3"/>
    <n v="3"/>
    <s v="Married"/>
    <n v="5768"/>
    <n v="26493"/>
    <n v="3"/>
    <s v="No"/>
    <n v="17"/>
    <n v="3"/>
    <n v="1"/>
    <n v="3"/>
    <n v="9"/>
    <n v="2"/>
    <n v="2"/>
    <n v="4"/>
    <n v="3"/>
    <n v="0"/>
    <n v="2"/>
    <x v="0"/>
    <n v="51912"/>
    <x v="1"/>
    <n v="0"/>
  </r>
  <r>
    <n v="39"/>
    <x v="1"/>
    <s v="Travel_Frequently"/>
    <n v="711"/>
    <x v="1"/>
    <n v="4"/>
    <n v="3"/>
    <s v="Medical"/>
    <n v="1633"/>
    <n v="1"/>
    <s v="Female"/>
    <n v="81"/>
    <n v="3"/>
    <n v="2"/>
    <x v="3"/>
    <n v="3"/>
    <s v="Single"/>
    <n v="5042"/>
    <n v="3140"/>
    <n v="0"/>
    <s v="No"/>
    <n v="13"/>
    <n v="3"/>
    <n v="4"/>
    <n v="0"/>
    <n v="10"/>
    <n v="2"/>
    <n v="1"/>
    <n v="9"/>
    <n v="2"/>
    <n v="3"/>
    <n v="8"/>
    <x v="1"/>
    <n v="45378"/>
    <x v="1"/>
    <n v="0"/>
  </r>
  <r>
    <n v="45"/>
    <x v="1"/>
    <s v="Travel_Rarely"/>
    <n v="1329"/>
    <x v="1"/>
    <n v="2"/>
    <n v="2"/>
    <s v="Other"/>
    <n v="1635"/>
    <n v="4"/>
    <s v="Female"/>
    <n v="59"/>
    <n v="2"/>
    <n v="2"/>
    <x v="3"/>
    <n v="4"/>
    <s v="Divorced"/>
    <n v="5770"/>
    <n v="5388"/>
    <n v="1"/>
    <s v="No"/>
    <n v="19"/>
    <n v="3"/>
    <n v="1"/>
    <n v="2"/>
    <n v="10"/>
    <n v="3"/>
    <n v="3"/>
    <n v="10"/>
    <n v="7"/>
    <n v="3"/>
    <n v="9"/>
    <x v="1"/>
    <n v="51930"/>
    <x v="1"/>
    <n v="0"/>
  </r>
  <r>
    <n v="38"/>
    <x v="1"/>
    <s v="Travel_Rarely"/>
    <n v="397"/>
    <x v="1"/>
    <n v="2"/>
    <n v="2"/>
    <s v="Medical"/>
    <n v="1638"/>
    <n v="4"/>
    <s v="Female"/>
    <n v="54"/>
    <n v="2"/>
    <n v="3"/>
    <x v="3"/>
    <n v="3"/>
    <s v="Married"/>
    <n v="7756"/>
    <n v="14199"/>
    <n v="3"/>
    <s v="Yes"/>
    <n v="19"/>
    <n v="3"/>
    <n v="4"/>
    <n v="1"/>
    <n v="10"/>
    <n v="6"/>
    <n v="4"/>
    <n v="5"/>
    <n v="4"/>
    <n v="0"/>
    <n v="2"/>
    <x v="0"/>
    <n v="69804"/>
    <x v="0"/>
    <n v="0"/>
  </r>
  <r>
    <n v="35"/>
    <x v="0"/>
    <s v="Travel_Rarely"/>
    <n v="737"/>
    <x v="0"/>
    <n v="10"/>
    <n v="3"/>
    <s v="Medical"/>
    <n v="1639"/>
    <n v="4"/>
    <s v="Male"/>
    <n v="55"/>
    <n v="2"/>
    <n v="3"/>
    <x v="0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  <x v="1"/>
    <n v="92754"/>
    <x v="0"/>
    <n v="92754"/>
  </r>
  <r>
    <n v="37"/>
    <x v="1"/>
    <s v="Travel_Rarely"/>
    <n v="1470"/>
    <x v="1"/>
    <n v="10"/>
    <n v="3"/>
    <s v="Medical"/>
    <n v="1640"/>
    <n v="2"/>
    <s v="Female"/>
    <n v="71"/>
    <n v="3"/>
    <n v="1"/>
    <x v="1"/>
    <n v="2"/>
    <s v="Married"/>
    <n v="3936"/>
    <n v="9953"/>
    <n v="1"/>
    <s v="No"/>
    <n v="11"/>
    <n v="3"/>
    <n v="1"/>
    <n v="1"/>
    <n v="8"/>
    <n v="2"/>
    <n v="1"/>
    <n v="8"/>
    <n v="4"/>
    <n v="7"/>
    <n v="7"/>
    <x v="1"/>
    <n v="35424"/>
    <x v="0"/>
    <n v="0"/>
  </r>
  <r>
    <n v="40"/>
    <x v="1"/>
    <s v="Travel_Rarely"/>
    <n v="448"/>
    <x v="1"/>
    <n v="16"/>
    <n v="3"/>
    <s v="Life Sciences"/>
    <n v="1641"/>
    <n v="3"/>
    <s v="Female"/>
    <n v="84"/>
    <n v="3"/>
    <n v="3"/>
    <x v="3"/>
    <n v="4"/>
    <s v="Single"/>
    <n v="7945"/>
    <n v="19948"/>
    <n v="6"/>
    <s v="Yes"/>
    <n v="15"/>
    <n v="3"/>
    <n v="4"/>
    <n v="0"/>
    <n v="18"/>
    <n v="2"/>
    <n v="2"/>
    <n v="4"/>
    <n v="2"/>
    <n v="3"/>
    <n v="3"/>
    <x v="0"/>
    <n v="71505"/>
    <x v="0"/>
    <n v="0"/>
  </r>
  <r>
    <n v="44"/>
    <x v="1"/>
    <s v="Travel_Frequently"/>
    <n v="602"/>
    <x v="2"/>
    <n v="1"/>
    <n v="5"/>
    <s v="Human Resources"/>
    <n v="1642"/>
    <n v="1"/>
    <s v="Male"/>
    <n v="37"/>
    <n v="3"/>
    <n v="2"/>
    <x v="8"/>
    <n v="4"/>
    <s v="Married"/>
    <n v="5743"/>
    <n v="10503"/>
    <n v="4"/>
    <s v="Yes"/>
    <n v="11"/>
    <n v="3"/>
    <n v="3"/>
    <n v="0"/>
    <n v="14"/>
    <n v="3"/>
    <n v="3"/>
    <n v="10"/>
    <n v="7"/>
    <n v="0"/>
    <n v="2"/>
    <x v="1"/>
    <n v="51687"/>
    <x v="0"/>
    <n v="0"/>
  </r>
  <r>
    <n v="48"/>
    <x v="1"/>
    <s v="Travel_Frequently"/>
    <n v="365"/>
    <x v="1"/>
    <n v="4"/>
    <n v="5"/>
    <s v="Medical"/>
    <n v="1644"/>
    <n v="3"/>
    <s v="Male"/>
    <n v="89"/>
    <n v="2"/>
    <n v="4"/>
    <x v="5"/>
    <n v="4"/>
    <s v="Married"/>
    <n v="15202"/>
    <n v="5602"/>
    <n v="2"/>
    <s v="No"/>
    <n v="25"/>
    <n v="4"/>
    <n v="2"/>
    <n v="1"/>
    <n v="23"/>
    <n v="3"/>
    <n v="3"/>
    <n v="2"/>
    <n v="2"/>
    <n v="2"/>
    <n v="2"/>
    <x v="3"/>
    <n v="136818"/>
    <x v="1"/>
    <n v="0"/>
  </r>
  <r>
    <n v="35"/>
    <x v="0"/>
    <s v="Travel_Rarely"/>
    <n v="763"/>
    <x v="0"/>
    <n v="15"/>
    <n v="2"/>
    <s v="Medical"/>
    <n v="1645"/>
    <n v="1"/>
    <s v="Male"/>
    <n v="59"/>
    <n v="1"/>
    <n v="2"/>
    <x v="0"/>
    <n v="4"/>
    <s v="Divorced"/>
    <n v="5440"/>
    <n v="22098"/>
    <n v="6"/>
    <s v="Yes"/>
    <n v="14"/>
    <n v="3"/>
    <n v="4"/>
    <n v="2"/>
    <n v="7"/>
    <n v="2"/>
    <n v="2"/>
    <n v="2"/>
    <n v="2"/>
    <n v="2"/>
    <n v="2"/>
    <x v="3"/>
    <n v="48960"/>
    <x v="0"/>
    <n v="48960"/>
  </r>
  <r>
    <n v="24"/>
    <x v="1"/>
    <s v="Travel_Frequently"/>
    <n v="567"/>
    <x v="1"/>
    <n v="2"/>
    <n v="1"/>
    <s v="Technical Degree"/>
    <n v="1646"/>
    <n v="1"/>
    <s v="Female"/>
    <n v="32"/>
    <n v="3"/>
    <n v="1"/>
    <x v="1"/>
    <n v="4"/>
    <s v="Single"/>
    <n v="3760"/>
    <n v="17218"/>
    <n v="1"/>
    <s v="Yes"/>
    <n v="13"/>
    <n v="3"/>
    <n v="3"/>
    <n v="0"/>
    <n v="6"/>
    <n v="2"/>
    <n v="3"/>
    <n v="6"/>
    <n v="3"/>
    <n v="1"/>
    <n v="3"/>
    <x v="0"/>
    <n v="33840"/>
    <x v="0"/>
    <n v="0"/>
  </r>
  <r>
    <n v="27"/>
    <x v="1"/>
    <s v="Travel_Rarely"/>
    <n v="486"/>
    <x v="1"/>
    <n v="8"/>
    <n v="3"/>
    <s v="Medical"/>
    <n v="1647"/>
    <n v="2"/>
    <s v="Female"/>
    <n v="86"/>
    <n v="4"/>
    <n v="1"/>
    <x v="1"/>
    <n v="3"/>
    <s v="Married"/>
    <n v="3517"/>
    <n v="22490"/>
    <n v="7"/>
    <s v="No"/>
    <n v="17"/>
    <n v="3"/>
    <n v="1"/>
    <n v="0"/>
    <n v="5"/>
    <n v="0"/>
    <n v="3"/>
    <n v="3"/>
    <n v="2"/>
    <n v="0"/>
    <n v="2"/>
    <x v="3"/>
    <n v="31653"/>
    <x v="1"/>
    <n v="0"/>
  </r>
  <r>
    <n v="27"/>
    <x v="1"/>
    <s v="Travel_Frequently"/>
    <n v="591"/>
    <x v="1"/>
    <n v="2"/>
    <n v="3"/>
    <s v="Medical"/>
    <n v="1648"/>
    <n v="4"/>
    <s v="Male"/>
    <n v="87"/>
    <n v="3"/>
    <n v="1"/>
    <x v="1"/>
    <n v="4"/>
    <s v="Single"/>
    <n v="2580"/>
    <n v="6297"/>
    <n v="2"/>
    <s v="No"/>
    <n v="13"/>
    <n v="3"/>
    <n v="3"/>
    <n v="0"/>
    <n v="6"/>
    <n v="0"/>
    <n v="2"/>
    <n v="4"/>
    <n v="2"/>
    <n v="1"/>
    <n v="2"/>
    <x v="0"/>
    <n v="23220"/>
    <x v="1"/>
    <n v="0"/>
  </r>
  <r>
    <n v="40"/>
    <x v="0"/>
    <s v="Travel_Rarely"/>
    <n v="1329"/>
    <x v="1"/>
    <n v="7"/>
    <n v="3"/>
    <s v="Life Sciences"/>
    <n v="1649"/>
    <n v="1"/>
    <s v="Male"/>
    <n v="73"/>
    <n v="3"/>
    <n v="1"/>
    <x v="2"/>
    <n v="1"/>
    <s v="Single"/>
    <n v="2166"/>
    <n v="3339"/>
    <n v="3"/>
    <s v="Yes"/>
    <n v="14"/>
    <n v="3"/>
    <n v="2"/>
    <n v="0"/>
    <n v="10"/>
    <n v="3"/>
    <n v="1"/>
    <n v="4"/>
    <n v="2"/>
    <n v="0"/>
    <n v="3"/>
    <x v="0"/>
    <n v="19494"/>
    <x v="0"/>
    <n v="19494"/>
  </r>
  <r>
    <n v="29"/>
    <x v="1"/>
    <s v="Travel_Rarely"/>
    <n v="469"/>
    <x v="0"/>
    <n v="10"/>
    <n v="3"/>
    <s v="Medical"/>
    <n v="1650"/>
    <n v="3"/>
    <s v="Male"/>
    <n v="42"/>
    <n v="2"/>
    <n v="2"/>
    <x v="0"/>
    <n v="3"/>
    <s v="Single"/>
    <n v="5869"/>
    <n v="23413"/>
    <n v="9"/>
    <s v="No"/>
    <n v="11"/>
    <n v="3"/>
    <n v="3"/>
    <n v="0"/>
    <n v="8"/>
    <n v="2"/>
    <n v="3"/>
    <n v="5"/>
    <n v="2"/>
    <n v="1"/>
    <n v="4"/>
    <x v="0"/>
    <n v="52821"/>
    <x v="1"/>
    <n v="0"/>
  </r>
  <r>
    <n v="36"/>
    <x v="1"/>
    <s v="Travel_Rarely"/>
    <n v="711"/>
    <x v="1"/>
    <n v="5"/>
    <n v="4"/>
    <s v="Life Sciences"/>
    <n v="1651"/>
    <n v="2"/>
    <s v="Female"/>
    <n v="42"/>
    <n v="3"/>
    <n v="3"/>
    <x v="4"/>
    <n v="1"/>
    <s v="Married"/>
    <n v="8008"/>
    <n v="22792"/>
    <n v="4"/>
    <s v="No"/>
    <n v="12"/>
    <n v="3"/>
    <n v="3"/>
    <n v="2"/>
    <n v="9"/>
    <n v="6"/>
    <n v="3"/>
    <n v="3"/>
    <n v="2"/>
    <n v="0"/>
    <n v="2"/>
    <x v="3"/>
    <n v="72072"/>
    <x v="0"/>
    <n v="0"/>
  </r>
  <r>
    <n v="25"/>
    <x v="1"/>
    <s v="Travel_Frequently"/>
    <n v="772"/>
    <x v="1"/>
    <n v="2"/>
    <n v="1"/>
    <s v="Life Sciences"/>
    <n v="1653"/>
    <n v="4"/>
    <s v="Male"/>
    <n v="77"/>
    <n v="4"/>
    <n v="2"/>
    <x v="3"/>
    <n v="3"/>
    <s v="Divorced"/>
    <n v="5206"/>
    <n v="4973"/>
    <n v="1"/>
    <s v="No"/>
    <n v="17"/>
    <n v="3"/>
    <n v="3"/>
    <n v="2"/>
    <n v="7"/>
    <n v="6"/>
    <n v="3"/>
    <n v="7"/>
    <n v="7"/>
    <n v="0"/>
    <n v="7"/>
    <x v="1"/>
    <n v="46854"/>
    <x v="1"/>
    <n v="0"/>
  </r>
  <r>
    <n v="39"/>
    <x v="1"/>
    <s v="Travel_Rarely"/>
    <n v="492"/>
    <x v="1"/>
    <n v="12"/>
    <n v="3"/>
    <s v="Medical"/>
    <n v="1654"/>
    <n v="4"/>
    <s v="Male"/>
    <n v="66"/>
    <n v="3"/>
    <n v="2"/>
    <x v="3"/>
    <n v="2"/>
    <s v="Married"/>
    <n v="5295"/>
    <n v="7693"/>
    <n v="4"/>
    <s v="No"/>
    <n v="21"/>
    <n v="4"/>
    <n v="3"/>
    <n v="0"/>
    <n v="7"/>
    <n v="3"/>
    <n v="3"/>
    <n v="5"/>
    <n v="4"/>
    <n v="1"/>
    <n v="0"/>
    <x v="0"/>
    <n v="47655"/>
    <x v="0"/>
    <n v="0"/>
  </r>
  <r>
    <n v="49"/>
    <x v="1"/>
    <s v="Travel_Rarely"/>
    <n v="301"/>
    <x v="1"/>
    <n v="22"/>
    <n v="4"/>
    <s v="Other"/>
    <n v="1655"/>
    <n v="1"/>
    <s v="Female"/>
    <n v="72"/>
    <n v="3"/>
    <n v="4"/>
    <x v="7"/>
    <n v="2"/>
    <s v="Married"/>
    <n v="16413"/>
    <n v="3498"/>
    <n v="3"/>
    <s v="No"/>
    <n v="16"/>
    <n v="3"/>
    <n v="2"/>
    <n v="2"/>
    <n v="27"/>
    <n v="2"/>
    <n v="3"/>
    <n v="4"/>
    <n v="2"/>
    <n v="1"/>
    <n v="2"/>
    <x v="0"/>
    <n v="147717"/>
    <x v="0"/>
    <n v="0"/>
  </r>
  <r>
    <n v="50"/>
    <x v="1"/>
    <s v="Travel_Rarely"/>
    <n v="813"/>
    <x v="1"/>
    <n v="17"/>
    <n v="5"/>
    <s v="Life Sciences"/>
    <n v="1656"/>
    <n v="4"/>
    <s v="Female"/>
    <n v="50"/>
    <n v="2"/>
    <n v="3"/>
    <x v="7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  <x v="1"/>
    <n v="119421"/>
    <x v="0"/>
    <n v="0"/>
  </r>
  <r>
    <n v="20"/>
    <x v="1"/>
    <s v="Travel_Rarely"/>
    <n v="1141"/>
    <x v="0"/>
    <n v="2"/>
    <n v="3"/>
    <s v="Medical"/>
    <n v="1657"/>
    <n v="3"/>
    <s v="Female"/>
    <n v="31"/>
    <n v="3"/>
    <n v="1"/>
    <x v="6"/>
    <n v="3"/>
    <s v="Single"/>
    <n v="2783"/>
    <n v="13251"/>
    <n v="1"/>
    <s v="No"/>
    <n v="19"/>
    <n v="3"/>
    <n v="1"/>
    <n v="0"/>
    <n v="2"/>
    <n v="3"/>
    <n v="3"/>
    <n v="2"/>
    <n v="2"/>
    <n v="2"/>
    <n v="2"/>
    <x v="3"/>
    <n v="25047"/>
    <x v="1"/>
    <n v="0"/>
  </r>
  <r>
    <n v="34"/>
    <x v="1"/>
    <s v="Travel_Rarely"/>
    <n v="1130"/>
    <x v="1"/>
    <n v="3"/>
    <n v="3"/>
    <s v="Life Sciences"/>
    <n v="1658"/>
    <n v="4"/>
    <s v="Female"/>
    <n v="66"/>
    <n v="3"/>
    <n v="2"/>
    <x v="1"/>
    <n v="2"/>
    <s v="Divorced"/>
    <n v="5433"/>
    <n v="19332"/>
    <n v="1"/>
    <s v="No"/>
    <n v="12"/>
    <n v="3"/>
    <n v="3"/>
    <n v="1"/>
    <n v="11"/>
    <n v="2"/>
    <n v="3"/>
    <n v="11"/>
    <n v="8"/>
    <n v="7"/>
    <n v="9"/>
    <x v="1"/>
    <n v="48897"/>
    <x v="0"/>
    <n v="0"/>
  </r>
  <r>
    <n v="36"/>
    <x v="1"/>
    <s v="Travel_Rarely"/>
    <n v="311"/>
    <x v="1"/>
    <n v="7"/>
    <n v="3"/>
    <s v="Life Sciences"/>
    <n v="1659"/>
    <n v="1"/>
    <s v="Male"/>
    <n v="77"/>
    <n v="3"/>
    <n v="1"/>
    <x v="2"/>
    <n v="2"/>
    <s v="Single"/>
    <n v="2013"/>
    <n v="10950"/>
    <n v="2"/>
    <s v="No"/>
    <n v="11"/>
    <n v="3"/>
    <n v="3"/>
    <n v="0"/>
    <n v="15"/>
    <n v="4"/>
    <n v="3"/>
    <n v="4"/>
    <n v="3"/>
    <n v="1"/>
    <n v="3"/>
    <x v="0"/>
    <n v="18117"/>
    <x v="0"/>
    <n v="0"/>
  </r>
  <r>
    <n v="49"/>
    <x v="1"/>
    <s v="Travel_Rarely"/>
    <n v="465"/>
    <x v="1"/>
    <n v="6"/>
    <n v="1"/>
    <s v="Life Sciences"/>
    <n v="1661"/>
    <n v="3"/>
    <s v="Female"/>
    <n v="41"/>
    <n v="2"/>
    <n v="4"/>
    <x v="4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  <x v="1"/>
    <n v="125694"/>
    <x v="0"/>
    <n v="0"/>
  </r>
  <r>
    <n v="36"/>
    <x v="1"/>
    <s v="Non-Travel"/>
    <n v="894"/>
    <x v="1"/>
    <n v="1"/>
    <n v="4"/>
    <s v="Medical"/>
    <n v="1662"/>
    <n v="4"/>
    <s v="Female"/>
    <n v="33"/>
    <n v="2"/>
    <n v="2"/>
    <x v="3"/>
    <n v="3"/>
    <s v="Married"/>
    <n v="4374"/>
    <n v="15411"/>
    <n v="0"/>
    <s v="No"/>
    <n v="15"/>
    <n v="3"/>
    <n v="3"/>
    <n v="0"/>
    <n v="4"/>
    <n v="6"/>
    <n v="3"/>
    <n v="3"/>
    <n v="2"/>
    <n v="1"/>
    <n v="2"/>
    <x v="3"/>
    <n v="39366"/>
    <x v="1"/>
    <n v="0"/>
  </r>
  <r>
    <n v="36"/>
    <x v="1"/>
    <s v="Travel_Rarely"/>
    <n v="1040"/>
    <x v="1"/>
    <n v="3"/>
    <n v="2"/>
    <s v="Life Sciences"/>
    <n v="1664"/>
    <n v="4"/>
    <s v="Male"/>
    <n v="79"/>
    <n v="4"/>
    <n v="2"/>
    <x v="4"/>
    <n v="1"/>
    <s v="Divorced"/>
    <n v="6842"/>
    <n v="26308"/>
    <n v="6"/>
    <s v="No"/>
    <n v="20"/>
    <n v="4"/>
    <n v="1"/>
    <n v="1"/>
    <n v="13"/>
    <n v="3"/>
    <n v="3"/>
    <n v="5"/>
    <n v="4"/>
    <n v="0"/>
    <n v="4"/>
    <x v="0"/>
    <n v="61578"/>
    <x v="0"/>
    <n v="0"/>
  </r>
  <r>
    <n v="54"/>
    <x v="1"/>
    <s v="Travel_Rarely"/>
    <n v="584"/>
    <x v="1"/>
    <n v="22"/>
    <n v="5"/>
    <s v="Medical"/>
    <n v="1665"/>
    <n v="2"/>
    <s v="Female"/>
    <n v="91"/>
    <n v="3"/>
    <n v="4"/>
    <x v="5"/>
    <n v="3"/>
    <s v="Married"/>
    <n v="17426"/>
    <n v="18685"/>
    <n v="3"/>
    <s v="No"/>
    <n v="25"/>
    <n v="4"/>
    <n v="3"/>
    <n v="1"/>
    <n v="36"/>
    <n v="6"/>
    <n v="3"/>
    <n v="10"/>
    <n v="8"/>
    <n v="4"/>
    <n v="7"/>
    <x v="1"/>
    <n v="156834"/>
    <x v="1"/>
    <n v="0"/>
  </r>
  <r>
    <n v="43"/>
    <x v="1"/>
    <s v="Travel_Rarely"/>
    <n v="1291"/>
    <x v="1"/>
    <n v="15"/>
    <n v="2"/>
    <s v="Life Sciences"/>
    <n v="1666"/>
    <n v="3"/>
    <s v="Male"/>
    <n v="65"/>
    <n v="2"/>
    <n v="4"/>
    <x v="7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  <x v="1"/>
    <n v="158427"/>
    <x v="1"/>
    <n v="0"/>
  </r>
  <r>
    <n v="35"/>
    <x v="0"/>
    <s v="Travel_Frequently"/>
    <n v="880"/>
    <x v="0"/>
    <n v="12"/>
    <n v="4"/>
    <s v="Other"/>
    <n v="1667"/>
    <n v="4"/>
    <s v="Male"/>
    <n v="36"/>
    <n v="3"/>
    <n v="2"/>
    <x v="0"/>
    <n v="4"/>
    <s v="Single"/>
    <n v="4581"/>
    <n v="10414"/>
    <n v="3"/>
    <s v="Yes"/>
    <n v="24"/>
    <n v="4"/>
    <n v="1"/>
    <n v="0"/>
    <n v="13"/>
    <n v="2"/>
    <n v="4"/>
    <n v="11"/>
    <n v="9"/>
    <n v="6"/>
    <n v="7"/>
    <x v="1"/>
    <n v="41229"/>
    <x v="0"/>
    <n v="41229"/>
  </r>
  <r>
    <n v="38"/>
    <x v="1"/>
    <s v="Travel_Frequently"/>
    <n v="1189"/>
    <x v="1"/>
    <n v="1"/>
    <n v="3"/>
    <s v="Life Sciences"/>
    <n v="1668"/>
    <n v="4"/>
    <s v="Male"/>
    <n v="90"/>
    <n v="3"/>
    <n v="2"/>
    <x v="1"/>
    <n v="4"/>
    <s v="Married"/>
    <n v="4735"/>
    <n v="9867"/>
    <n v="7"/>
    <s v="No"/>
    <n v="15"/>
    <n v="3"/>
    <n v="4"/>
    <n v="2"/>
    <n v="19"/>
    <n v="4"/>
    <n v="4"/>
    <n v="13"/>
    <n v="11"/>
    <n v="2"/>
    <n v="9"/>
    <x v="1"/>
    <n v="42615"/>
    <x v="1"/>
    <n v="0"/>
  </r>
  <r>
    <n v="29"/>
    <x v="1"/>
    <s v="Travel_Rarely"/>
    <n v="991"/>
    <x v="0"/>
    <n v="5"/>
    <n v="3"/>
    <s v="Medical"/>
    <n v="1669"/>
    <n v="1"/>
    <s v="Male"/>
    <n v="43"/>
    <n v="2"/>
    <n v="2"/>
    <x v="0"/>
    <n v="2"/>
    <s v="Divorced"/>
    <n v="4187"/>
    <n v="3356"/>
    <n v="1"/>
    <s v="Yes"/>
    <n v="13"/>
    <n v="3"/>
    <n v="2"/>
    <n v="1"/>
    <n v="10"/>
    <n v="3"/>
    <n v="2"/>
    <n v="10"/>
    <n v="0"/>
    <n v="0"/>
    <n v="9"/>
    <x v="1"/>
    <n v="37683"/>
    <x v="0"/>
    <n v="0"/>
  </r>
  <r>
    <n v="33"/>
    <x v="1"/>
    <s v="Travel_Rarely"/>
    <n v="392"/>
    <x v="0"/>
    <n v="2"/>
    <n v="4"/>
    <s v="Medical"/>
    <n v="1670"/>
    <n v="4"/>
    <s v="Male"/>
    <n v="93"/>
    <n v="3"/>
    <n v="2"/>
    <x v="0"/>
    <n v="4"/>
    <s v="Divorced"/>
    <n v="5505"/>
    <n v="3921"/>
    <n v="1"/>
    <s v="No"/>
    <n v="14"/>
    <n v="3"/>
    <n v="3"/>
    <n v="2"/>
    <n v="6"/>
    <n v="5"/>
    <n v="3"/>
    <n v="6"/>
    <n v="2"/>
    <n v="0"/>
    <n v="4"/>
    <x v="0"/>
    <n v="49545"/>
    <x v="1"/>
    <n v="0"/>
  </r>
  <r>
    <n v="32"/>
    <x v="1"/>
    <s v="Travel_Rarely"/>
    <n v="977"/>
    <x v="1"/>
    <n v="2"/>
    <n v="3"/>
    <s v="Medical"/>
    <n v="1671"/>
    <n v="4"/>
    <s v="Male"/>
    <n v="45"/>
    <n v="3"/>
    <n v="2"/>
    <x v="1"/>
    <n v="2"/>
    <s v="Divorced"/>
    <n v="5470"/>
    <n v="25518"/>
    <n v="0"/>
    <s v="No"/>
    <n v="13"/>
    <n v="3"/>
    <n v="3"/>
    <n v="2"/>
    <n v="10"/>
    <n v="4"/>
    <n v="2"/>
    <n v="9"/>
    <n v="5"/>
    <n v="1"/>
    <n v="6"/>
    <x v="1"/>
    <n v="49230"/>
    <x v="0"/>
    <n v="0"/>
  </r>
  <r>
    <n v="31"/>
    <x v="1"/>
    <s v="Travel_Rarely"/>
    <n v="1112"/>
    <x v="0"/>
    <n v="5"/>
    <n v="4"/>
    <s v="Life Sciences"/>
    <n v="1673"/>
    <n v="1"/>
    <s v="Female"/>
    <n v="67"/>
    <n v="3"/>
    <n v="2"/>
    <x v="0"/>
    <n v="4"/>
    <s v="Married"/>
    <n v="5476"/>
    <n v="22589"/>
    <n v="1"/>
    <s v="No"/>
    <n v="11"/>
    <n v="3"/>
    <n v="1"/>
    <n v="2"/>
    <n v="10"/>
    <n v="2"/>
    <n v="3"/>
    <n v="10"/>
    <n v="0"/>
    <n v="0"/>
    <n v="2"/>
    <x v="1"/>
    <n v="49284"/>
    <x v="1"/>
    <n v="0"/>
  </r>
  <r>
    <n v="49"/>
    <x v="1"/>
    <s v="Travel_Rarely"/>
    <n v="464"/>
    <x v="1"/>
    <n v="16"/>
    <n v="3"/>
    <s v="Medical"/>
    <n v="1674"/>
    <n v="4"/>
    <s v="Female"/>
    <n v="74"/>
    <n v="3"/>
    <n v="1"/>
    <x v="2"/>
    <n v="1"/>
    <s v="Divorced"/>
    <n v="2587"/>
    <n v="24941"/>
    <n v="4"/>
    <s v="Yes"/>
    <n v="16"/>
    <n v="3"/>
    <n v="2"/>
    <n v="1"/>
    <n v="17"/>
    <n v="2"/>
    <n v="2"/>
    <n v="2"/>
    <n v="2"/>
    <n v="2"/>
    <n v="2"/>
    <x v="3"/>
    <n v="23283"/>
    <x v="2"/>
    <n v="0"/>
  </r>
  <r>
    <n v="38"/>
    <x v="1"/>
    <s v="Travel_Frequently"/>
    <n v="148"/>
    <x v="1"/>
    <n v="2"/>
    <n v="3"/>
    <s v="Medical"/>
    <n v="1675"/>
    <n v="4"/>
    <s v="Female"/>
    <n v="42"/>
    <n v="2"/>
    <n v="1"/>
    <x v="2"/>
    <n v="2"/>
    <s v="Single"/>
    <n v="2440"/>
    <n v="23826"/>
    <n v="1"/>
    <s v="No"/>
    <n v="22"/>
    <n v="4"/>
    <n v="2"/>
    <n v="0"/>
    <n v="4"/>
    <n v="3"/>
    <n v="3"/>
    <n v="4"/>
    <n v="3"/>
    <n v="3"/>
    <n v="3"/>
    <x v="0"/>
    <n v="21960"/>
    <x v="0"/>
    <n v="0"/>
  </r>
  <r>
    <n v="47"/>
    <x v="1"/>
    <s v="Travel_Rarely"/>
    <n v="1225"/>
    <x v="0"/>
    <n v="2"/>
    <n v="4"/>
    <s v="Life Sciences"/>
    <n v="1676"/>
    <n v="2"/>
    <s v="Female"/>
    <n v="47"/>
    <n v="4"/>
    <n v="4"/>
    <x v="5"/>
    <n v="2"/>
    <s v="Divorced"/>
    <n v="15972"/>
    <n v="21086"/>
    <n v="6"/>
    <s v="No"/>
    <n v="14"/>
    <n v="3"/>
    <n v="3"/>
    <n v="3"/>
    <n v="29"/>
    <n v="2"/>
    <n v="3"/>
    <n v="3"/>
    <n v="2"/>
    <n v="1"/>
    <n v="2"/>
    <x v="3"/>
    <n v="143748"/>
    <x v="0"/>
    <n v="0"/>
  </r>
  <r>
    <n v="49"/>
    <x v="1"/>
    <s v="Travel_Rarely"/>
    <n v="809"/>
    <x v="1"/>
    <n v="1"/>
    <n v="3"/>
    <s v="Life Sciences"/>
    <n v="1677"/>
    <n v="3"/>
    <s v="Male"/>
    <n v="36"/>
    <n v="3"/>
    <n v="4"/>
    <x v="5"/>
    <n v="3"/>
    <s v="Single"/>
    <n v="15379"/>
    <n v="22384"/>
    <n v="4"/>
    <s v="No"/>
    <n v="14"/>
    <n v="3"/>
    <n v="1"/>
    <n v="0"/>
    <n v="23"/>
    <n v="2"/>
    <n v="3"/>
    <n v="8"/>
    <n v="7"/>
    <n v="0"/>
    <n v="0"/>
    <x v="1"/>
    <n v="138411"/>
    <x v="1"/>
    <n v="0"/>
  </r>
  <r>
    <n v="41"/>
    <x v="1"/>
    <s v="Travel_Rarely"/>
    <n v="1206"/>
    <x v="0"/>
    <n v="23"/>
    <n v="2"/>
    <s v="Life Sciences"/>
    <n v="1678"/>
    <n v="4"/>
    <s v="Male"/>
    <n v="80"/>
    <n v="3"/>
    <n v="3"/>
    <x v="0"/>
    <n v="3"/>
    <s v="Single"/>
    <n v="7082"/>
    <n v="11591"/>
    <n v="3"/>
    <s v="Yes"/>
    <n v="16"/>
    <n v="3"/>
    <n v="4"/>
    <n v="0"/>
    <n v="21"/>
    <n v="2"/>
    <n v="3"/>
    <n v="2"/>
    <n v="0"/>
    <n v="0"/>
    <n v="2"/>
    <x v="3"/>
    <n v="63738"/>
    <x v="0"/>
    <n v="0"/>
  </r>
  <r>
    <n v="20"/>
    <x v="1"/>
    <s v="Travel_Rarely"/>
    <n v="727"/>
    <x v="0"/>
    <n v="9"/>
    <n v="1"/>
    <s v="Life Sciences"/>
    <n v="1680"/>
    <n v="4"/>
    <s v="Male"/>
    <n v="54"/>
    <n v="3"/>
    <n v="1"/>
    <x v="6"/>
    <n v="1"/>
    <s v="Single"/>
    <n v="2728"/>
    <n v="21082"/>
    <n v="1"/>
    <s v="No"/>
    <n v="11"/>
    <n v="3"/>
    <n v="1"/>
    <n v="0"/>
    <n v="2"/>
    <n v="3"/>
    <n v="3"/>
    <n v="2"/>
    <n v="2"/>
    <n v="0"/>
    <n v="2"/>
    <x v="3"/>
    <n v="24552"/>
    <x v="0"/>
    <n v="0"/>
  </r>
  <r>
    <n v="33"/>
    <x v="1"/>
    <s v="Non-Travel"/>
    <n v="530"/>
    <x v="0"/>
    <n v="16"/>
    <n v="3"/>
    <s v="Life Sciences"/>
    <n v="1681"/>
    <n v="3"/>
    <s v="Female"/>
    <n v="36"/>
    <n v="3"/>
    <n v="2"/>
    <x v="0"/>
    <n v="4"/>
    <s v="Divorced"/>
    <n v="5368"/>
    <n v="16130"/>
    <n v="1"/>
    <s v="Yes"/>
    <n v="25"/>
    <n v="4"/>
    <n v="3"/>
    <n v="1"/>
    <n v="7"/>
    <n v="2"/>
    <n v="3"/>
    <n v="6"/>
    <n v="5"/>
    <n v="1"/>
    <n v="2"/>
    <x v="0"/>
    <n v="48312"/>
    <x v="0"/>
    <n v="0"/>
  </r>
  <r>
    <n v="36"/>
    <x v="1"/>
    <s v="Travel_Rarely"/>
    <n v="1351"/>
    <x v="1"/>
    <n v="26"/>
    <n v="4"/>
    <s v="Life Sciences"/>
    <n v="1682"/>
    <n v="1"/>
    <s v="Male"/>
    <n v="80"/>
    <n v="3"/>
    <n v="2"/>
    <x v="4"/>
    <n v="3"/>
    <s v="Married"/>
    <n v="5347"/>
    <n v="7419"/>
    <n v="6"/>
    <s v="No"/>
    <n v="14"/>
    <n v="3"/>
    <n v="2"/>
    <n v="2"/>
    <n v="10"/>
    <n v="2"/>
    <n v="2"/>
    <n v="3"/>
    <n v="2"/>
    <n v="0"/>
    <n v="2"/>
    <x v="3"/>
    <n v="48123"/>
    <x v="1"/>
    <n v="0"/>
  </r>
  <r>
    <n v="44"/>
    <x v="1"/>
    <s v="Travel_Rarely"/>
    <n v="528"/>
    <x v="2"/>
    <n v="1"/>
    <n v="3"/>
    <s v="Life Sciences"/>
    <n v="1683"/>
    <n v="3"/>
    <s v="Female"/>
    <n v="44"/>
    <n v="3"/>
    <n v="1"/>
    <x v="8"/>
    <n v="4"/>
    <s v="Divorced"/>
    <n v="3195"/>
    <n v="4167"/>
    <n v="4"/>
    <s v="Yes"/>
    <n v="18"/>
    <n v="3"/>
    <n v="1"/>
    <n v="3"/>
    <n v="8"/>
    <n v="2"/>
    <n v="3"/>
    <n v="2"/>
    <n v="2"/>
    <n v="2"/>
    <n v="2"/>
    <x v="3"/>
    <n v="28755"/>
    <x v="0"/>
    <n v="0"/>
  </r>
  <r>
    <n v="23"/>
    <x v="0"/>
    <s v="Travel_Rarely"/>
    <n v="1320"/>
    <x v="1"/>
    <n v="8"/>
    <n v="1"/>
    <s v="Medical"/>
    <n v="1684"/>
    <n v="4"/>
    <s v="Male"/>
    <n v="93"/>
    <n v="2"/>
    <n v="1"/>
    <x v="2"/>
    <n v="3"/>
    <s v="Single"/>
    <n v="3989"/>
    <n v="20586"/>
    <n v="1"/>
    <s v="Yes"/>
    <n v="11"/>
    <n v="3"/>
    <n v="1"/>
    <n v="0"/>
    <n v="5"/>
    <n v="2"/>
    <n v="3"/>
    <n v="5"/>
    <n v="4"/>
    <n v="1"/>
    <n v="2"/>
    <x v="0"/>
    <n v="35901"/>
    <x v="0"/>
    <n v="35901"/>
  </r>
  <r>
    <n v="38"/>
    <x v="1"/>
    <s v="Travel_Rarely"/>
    <n v="1495"/>
    <x v="1"/>
    <n v="4"/>
    <n v="2"/>
    <s v="Medical"/>
    <n v="1687"/>
    <n v="4"/>
    <s v="Female"/>
    <n v="87"/>
    <n v="3"/>
    <n v="1"/>
    <x v="2"/>
    <n v="3"/>
    <s v="Married"/>
    <n v="3306"/>
    <n v="26176"/>
    <n v="7"/>
    <s v="No"/>
    <n v="19"/>
    <n v="3"/>
    <n v="4"/>
    <n v="1"/>
    <n v="7"/>
    <n v="5"/>
    <n v="2"/>
    <n v="0"/>
    <n v="0"/>
    <n v="0"/>
    <n v="0"/>
    <x v="2"/>
    <n v="29754"/>
    <x v="1"/>
    <n v="0"/>
  </r>
  <r>
    <n v="53"/>
    <x v="1"/>
    <s v="Travel_Rarely"/>
    <n v="1395"/>
    <x v="1"/>
    <n v="24"/>
    <n v="4"/>
    <s v="Medical"/>
    <n v="1689"/>
    <n v="2"/>
    <s v="Male"/>
    <n v="48"/>
    <n v="4"/>
    <n v="3"/>
    <x v="4"/>
    <n v="4"/>
    <s v="Married"/>
    <n v="7005"/>
    <n v="3458"/>
    <n v="3"/>
    <s v="No"/>
    <n v="15"/>
    <n v="3"/>
    <n v="3"/>
    <n v="0"/>
    <n v="11"/>
    <n v="2"/>
    <n v="3"/>
    <n v="4"/>
    <n v="3"/>
    <n v="1"/>
    <n v="2"/>
    <x v="0"/>
    <n v="63045"/>
    <x v="1"/>
    <n v="0"/>
  </r>
  <r>
    <n v="48"/>
    <x v="0"/>
    <s v="Travel_Frequently"/>
    <n v="708"/>
    <x v="0"/>
    <n v="7"/>
    <n v="2"/>
    <s v="Medical"/>
    <n v="1691"/>
    <n v="4"/>
    <s v="Female"/>
    <n v="95"/>
    <n v="3"/>
    <n v="1"/>
    <x v="6"/>
    <n v="3"/>
    <s v="Married"/>
    <n v="2655"/>
    <n v="11740"/>
    <n v="2"/>
    <s v="Yes"/>
    <n v="11"/>
    <n v="3"/>
    <n v="3"/>
    <n v="2"/>
    <n v="19"/>
    <n v="3"/>
    <n v="3"/>
    <n v="9"/>
    <n v="7"/>
    <n v="7"/>
    <n v="7"/>
    <x v="1"/>
    <n v="23895"/>
    <x v="0"/>
    <n v="23895"/>
  </r>
  <r>
    <n v="32"/>
    <x v="0"/>
    <s v="Travel_Rarely"/>
    <n v="1259"/>
    <x v="1"/>
    <n v="2"/>
    <n v="4"/>
    <s v="Life Sciences"/>
    <n v="1692"/>
    <n v="4"/>
    <s v="Male"/>
    <n v="95"/>
    <n v="3"/>
    <n v="1"/>
    <x v="2"/>
    <n v="2"/>
    <s v="Single"/>
    <n v="1393"/>
    <n v="24852"/>
    <n v="1"/>
    <s v="No"/>
    <n v="12"/>
    <n v="3"/>
    <n v="1"/>
    <n v="0"/>
    <n v="1"/>
    <n v="2"/>
    <n v="3"/>
    <n v="1"/>
    <n v="0"/>
    <n v="0"/>
    <n v="0"/>
    <x v="3"/>
    <n v="12537"/>
    <x v="0"/>
    <n v="12537"/>
  </r>
  <r>
    <n v="26"/>
    <x v="1"/>
    <s v="Non-Travel"/>
    <n v="786"/>
    <x v="1"/>
    <n v="7"/>
    <n v="3"/>
    <s v="Medical"/>
    <n v="1693"/>
    <n v="4"/>
    <s v="Male"/>
    <n v="76"/>
    <n v="3"/>
    <n v="1"/>
    <x v="2"/>
    <n v="4"/>
    <s v="Single"/>
    <n v="2570"/>
    <n v="11925"/>
    <n v="1"/>
    <s v="No"/>
    <n v="20"/>
    <n v="4"/>
    <n v="3"/>
    <n v="0"/>
    <n v="7"/>
    <n v="5"/>
    <n v="3"/>
    <n v="7"/>
    <n v="7"/>
    <n v="5"/>
    <n v="7"/>
    <x v="1"/>
    <n v="23130"/>
    <x v="1"/>
    <n v="0"/>
  </r>
  <r>
    <n v="55"/>
    <x v="1"/>
    <s v="Travel_Rarely"/>
    <n v="1441"/>
    <x v="1"/>
    <n v="22"/>
    <n v="3"/>
    <s v="Technical Degree"/>
    <n v="1694"/>
    <n v="1"/>
    <s v="Male"/>
    <n v="94"/>
    <n v="2"/>
    <n v="1"/>
    <x v="1"/>
    <n v="2"/>
    <s v="Divorced"/>
    <n v="3537"/>
    <n v="23737"/>
    <n v="5"/>
    <s v="No"/>
    <n v="12"/>
    <n v="3"/>
    <n v="4"/>
    <n v="1"/>
    <n v="8"/>
    <n v="1"/>
    <n v="3"/>
    <n v="4"/>
    <n v="2"/>
    <n v="1"/>
    <n v="2"/>
    <x v="0"/>
    <n v="31833"/>
    <x v="0"/>
    <n v="0"/>
  </r>
  <r>
    <n v="34"/>
    <x v="1"/>
    <s v="Travel_Rarely"/>
    <n v="1157"/>
    <x v="1"/>
    <n v="5"/>
    <n v="2"/>
    <s v="Medical"/>
    <n v="1696"/>
    <n v="2"/>
    <s v="Male"/>
    <n v="57"/>
    <n v="2"/>
    <n v="2"/>
    <x v="2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  <x v="1"/>
    <n v="35874"/>
    <x v="1"/>
    <n v="0"/>
  </r>
  <r>
    <n v="60"/>
    <x v="1"/>
    <s v="Travel_Rarely"/>
    <n v="370"/>
    <x v="1"/>
    <n v="1"/>
    <n v="4"/>
    <s v="Medical"/>
    <n v="1697"/>
    <n v="3"/>
    <s v="Male"/>
    <n v="92"/>
    <n v="1"/>
    <n v="3"/>
    <x v="4"/>
    <n v="4"/>
    <s v="Divorced"/>
    <n v="10883"/>
    <n v="20467"/>
    <n v="3"/>
    <s v="No"/>
    <n v="20"/>
    <n v="4"/>
    <n v="3"/>
    <n v="1"/>
    <n v="19"/>
    <n v="2"/>
    <n v="4"/>
    <n v="1"/>
    <n v="0"/>
    <n v="0"/>
    <n v="0"/>
    <x v="3"/>
    <n v="97947"/>
    <x v="1"/>
    <n v="0"/>
  </r>
  <r>
    <n v="33"/>
    <x v="1"/>
    <s v="Travel_Rarely"/>
    <n v="267"/>
    <x v="1"/>
    <n v="21"/>
    <n v="3"/>
    <s v="Medical"/>
    <n v="1698"/>
    <n v="2"/>
    <s v="Male"/>
    <n v="79"/>
    <n v="4"/>
    <n v="1"/>
    <x v="2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  <x v="1"/>
    <n v="18252"/>
    <x v="0"/>
    <n v="0"/>
  </r>
  <r>
    <n v="37"/>
    <x v="1"/>
    <s v="Travel_Frequently"/>
    <n v="1278"/>
    <x v="0"/>
    <n v="1"/>
    <n v="4"/>
    <s v="Medical"/>
    <n v="1700"/>
    <n v="3"/>
    <s v="Male"/>
    <n v="31"/>
    <n v="1"/>
    <n v="2"/>
    <x v="0"/>
    <n v="4"/>
    <s v="Divorced"/>
    <n v="9525"/>
    <n v="7677"/>
    <n v="1"/>
    <s v="No"/>
    <n v="14"/>
    <n v="3"/>
    <n v="3"/>
    <n v="2"/>
    <n v="6"/>
    <n v="2"/>
    <n v="2"/>
    <n v="6"/>
    <n v="3"/>
    <n v="1"/>
    <n v="3"/>
    <x v="0"/>
    <n v="85725"/>
    <x v="1"/>
    <n v="0"/>
  </r>
  <r>
    <n v="34"/>
    <x v="1"/>
    <s v="Travel_Rarely"/>
    <n v="678"/>
    <x v="1"/>
    <n v="19"/>
    <n v="3"/>
    <s v="Life Sciences"/>
    <n v="1701"/>
    <n v="2"/>
    <s v="Female"/>
    <n v="35"/>
    <n v="2"/>
    <n v="1"/>
    <x v="1"/>
    <n v="4"/>
    <s v="Married"/>
    <n v="2929"/>
    <n v="20338"/>
    <n v="1"/>
    <s v="No"/>
    <n v="12"/>
    <n v="3"/>
    <n v="2"/>
    <n v="0"/>
    <n v="10"/>
    <n v="3"/>
    <n v="3"/>
    <n v="10"/>
    <n v="9"/>
    <n v="8"/>
    <n v="7"/>
    <x v="1"/>
    <n v="26361"/>
    <x v="1"/>
    <n v="0"/>
  </r>
  <r>
    <n v="23"/>
    <x v="0"/>
    <s v="Travel_Rarely"/>
    <n v="427"/>
    <x v="0"/>
    <n v="7"/>
    <n v="3"/>
    <s v="Life Sciences"/>
    <n v="1702"/>
    <n v="3"/>
    <s v="Male"/>
    <n v="99"/>
    <n v="3"/>
    <n v="1"/>
    <x v="6"/>
    <n v="4"/>
    <s v="Divorced"/>
    <n v="2275"/>
    <n v="25103"/>
    <n v="1"/>
    <s v="Yes"/>
    <n v="21"/>
    <n v="4"/>
    <n v="2"/>
    <n v="1"/>
    <n v="3"/>
    <n v="2"/>
    <n v="3"/>
    <n v="3"/>
    <n v="2"/>
    <n v="0"/>
    <n v="2"/>
    <x v="3"/>
    <n v="20475"/>
    <x v="0"/>
    <n v="20475"/>
  </r>
  <r>
    <n v="44"/>
    <x v="1"/>
    <s v="Travel_Rarely"/>
    <n v="921"/>
    <x v="1"/>
    <n v="2"/>
    <n v="3"/>
    <s v="Life Sciences"/>
    <n v="1703"/>
    <n v="3"/>
    <s v="Female"/>
    <n v="96"/>
    <n v="4"/>
    <n v="3"/>
    <x v="4"/>
    <n v="4"/>
    <s v="Married"/>
    <n v="7879"/>
    <n v="14810"/>
    <n v="1"/>
    <s v="Yes"/>
    <n v="19"/>
    <n v="3"/>
    <n v="2"/>
    <n v="1"/>
    <n v="9"/>
    <n v="2"/>
    <n v="3"/>
    <n v="8"/>
    <n v="7"/>
    <n v="6"/>
    <n v="7"/>
    <x v="1"/>
    <n v="70911"/>
    <x v="0"/>
    <n v="0"/>
  </r>
  <r>
    <n v="35"/>
    <x v="1"/>
    <s v="Travel_Frequently"/>
    <n v="146"/>
    <x v="1"/>
    <n v="2"/>
    <n v="4"/>
    <s v="Medical"/>
    <n v="1704"/>
    <n v="1"/>
    <s v="Male"/>
    <n v="79"/>
    <n v="2"/>
    <n v="1"/>
    <x v="1"/>
    <n v="4"/>
    <s v="Single"/>
    <n v="4930"/>
    <n v="13970"/>
    <n v="0"/>
    <s v="Yes"/>
    <n v="14"/>
    <n v="3"/>
    <n v="3"/>
    <n v="0"/>
    <n v="6"/>
    <n v="2"/>
    <n v="4"/>
    <n v="5"/>
    <n v="4"/>
    <n v="1"/>
    <n v="4"/>
    <x v="0"/>
    <n v="44370"/>
    <x v="0"/>
    <n v="0"/>
  </r>
  <r>
    <n v="43"/>
    <x v="1"/>
    <s v="Travel_Rarely"/>
    <n v="1179"/>
    <x v="0"/>
    <n v="2"/>
    <n v="3"/>
    <s v="Medical"/>
    <n v="1706"/>
    <n v="4"/>
    <s v="Male"/>
    <n v="73"/>
    <n v="3"/>
    <n v="2"/>
    <x v="0"/>
    <n v="4"/>
    <s v="Married"/>
    <n v="7847"/>
    <n v="6069"/>
    <n v="1"/>
    <s v="Yes"/>
    <n v="17"/>
    <n v="3"/>
    <n v="1"/>
    <n v="1"/>
    <n v="10"/>
    <n v="3"/>
    <n v="3"/>
    <n v="10"/>
    <n v="9"/>
    <n v="8"/>
    <n v="8"/>
    <x v="1"/>
    <n v="70623"/>
    <x v="0"/>
    <n v="0"/>
  </r>
  <r>
    <n v="24"/>
    <x v="1"/>
    <s v="Travel_Rarely"/>
    <n v="581"/>
    <x v="1"/>
    <n v="9"/>
    <n v="3"/>
    <s v="Medical"/>
    <n v="1707"/>
    <n v="3"/>
    <s v="Male"/>
    <n v="62"/>
    <n v="4"/>
    <n v="1"/>
    <x v="1"/>
    <n v="3"/>
    <s v="Married"/>
    <n v="4401"/>
    <n v="17616"/>
    <n v="1"/>
    <s v="No"/>
    <n v="16"/>
    <n v="3"/>
    <n v="4"/>
    <n v="1"/>
    <n v="5"/>
    <n v="1"/>
    <n v="3"/>
    <n v="5"/>
    <n v="3"/>
    <n v="0"/>
    <n v="4"/>
    <x v="0"/>
    <n v="39609"/>
    <x v="1"/>
    <n v="0"/>
  </r>
  <r>
    <n v="41"/>
    <x v="1"/>
    <s v="Travel_Rarely"/>
    <n v="918"/>
    <x v="0"/>
    <n v="6"/>
    <n v="3"/>
    <s v="Marketing"/>
    <n v="1708"/>
    <n v="4"/>
    <s v="Male"/>
    <n v="35"/>
    <n v="3"/>
    <n v="3"/>
    <x v="0"/>
    <n v="3"/>
    <s v="Single"/>
    <n v="9241"/>
    <n v="15869"/>
    <n v="1"/>
    <s v="No"/>
    <n v="12"/>
    <n v="3"/>
    <n v="2"/>
    <n v="0"/>
    <n v="10"/>
    <n v="3"/>
    <n v="3"/>
    <n v="10"/>
    <n v="8"/>
    <n v="8"/>
    <n v="7"/>
    <x v="1"/>
    <n v="83169"/>
    <x v="1"/>
    <n v="0"/>
  </r>
  <r>
    <n v="29"/>
    <x v="1"/>
    <s v="Travel_Rarely"/>
    <n v="1082"/>
    <x v="1"/>
    <n v="9"/>
    <n v="4"/>
    <s v="Medical"/>
    <n v="1709"/>
    <n v="4"/>
    <s v="Female"/>
    <n v="43"/>
    <n v="3"/>
    <n v="1"/>
    <x v="2"/>
    <n v="3"/>
    <s v="Married"/>
    <n v="2974"/>
    <n v="25412"/>
    <n v="9"/>
    <s v="No"/>
    <n v="17"/>
    <n v="3"/>
    <n v="3"/>
    <n v="1"/>
    <n v="9"/>
    <n v="2"/>
    <n v="3"/>
    <n v="5"/>
    <n v="3"/>
    <n v="1"/>
    <n v="2"/>
    <x v="0"/>
    <n v="26766"/>
    <x v="1"/>
    <n v="0"/>
  </r>
  <r>
    <n v="36"/>
    <x v="1"/>
    <s v="Travel_Rarely"/>
    <n v="530"/>
    <x v="0"/>
    <n v="2"/>
    <n v="4"/>
    <s v="Life Sciences"/>
    <n v="1710"/>
    <n v="3"/>
    <s v="Female"/>
    <n v="51"/>
    <n v="3"/>
    <n v="2"/>
    <x v="6"/>
    <n v="4"/>
    <s v="Single"/>
    <n v="4502"/>
    <n v="7439"/>
    <n v="3"/>
    <s v="No"/>
    <n v="15"/>
    <n v="3"/>
    <n v="3"/>
    <n v="0"/>
    <n v="17"/>
    <n v="2"/>
    <n v="2"/>
    <n v="13"/>
    <n v="7"/>
    <n v="6"/>
    <n v="7"/>
    <x v="1"/>
    <n v="40518"/>
    <x v="1"/>
    <n v="0"/>
  </r>
  <r>
    <n v="45"/>
    <x v="1"/>
    <s v="Non-Travel"/>
    <n v="1238"/>
    <x v="1"/>
    <n v="1"/>
    <n v="1"/>
    <s v="Life Sciences"/>
    <n v="1712"/>
    <n v="3"/>
    <s v="Male"/>
    <n v="74"/>
    <n v="2"/>
    <n v="3"/>
    <x v="4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  <x v="1"/>
    <n v="96732"/>
    <x v="1"/>
    <n v="0"/>
  </r>
  <r>
    <n v="24"/>
    <x v="0"/>
    <s v="Travel_Rarely"/>
    <n v="240"/>
    <x v="2"/>
    <n v="22"/>
    <n v="1"/>
    <s v="Human Resources"/>
    <n v="1714"/>
    <n v="4"/>
    <s v="Male"/>
    <n v="58"/>
    <n v="1"/>
    <n v="1"/>
    <x v="8"/>
    <n v="3"/>
    <s v="Married"/>
    <n v="1555"/>
    <n v="11585"/>
    <n v="1"/>
    <s v="No"/>
    <n v="11"/>
    <n v="3"/>
    <n v="3"/>
    <n v="1"/>
    <n v="1"/>
    <n v="2"/>
    <n v="3"/>
    <n v="1"/>
    <n v="0"/>
    <n v="0"/>
    <n v="0"/>
    <x v="3"/>
    <n v="13995"/>
    <x v="1"/>
    <n v="13995"/>
  </r>
  <r>
    <n v="47"/>
    <x v="0"/>
    <s v="Travel_Frequently"/>
    <n v="1093"/>
    <x v="0"/>
    <n v="9"/>
    <n v="3"/>
    <s v="Life Sciences"/>
    <n v="1716"/>
    <n v="3"/>
    <s v="Male"/>
    <n v="82"/>
    <n v="1"/>
    <n v="4"/>
    <x v="0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  <x v="1"/>
    <n v="116424"/>
    <x v="1"/>
    <n v="116424"/>
  </r>
  <r>
    <n v="26"/>
    <x v="1"/>
    <s v="Travel_Rarely"/>
    <n v="390"/>
    <x v="1"/>
    <n v="17"/>
    <n v="4"/>
    <s v="Medical"/>
    <n v="1718"/>
    <n v="4"/>
    <s v="Male"/>
    <n v="62"/>
    <n v="1"/>
    <n v="1"/>
    <x v="2"/>
    <n v="3"/>
    <s v="Married"/>
    <n v="2305"/>
    <n v="6217"/>
    <n v="1"/>
    <s v="No"/>
    <n v="15"/>
    <n v="3"/>
    <n v="3"/>
    <n v="3"/>
    <n v="3"/>
    <n v="3"/>
    <n v="4"/>
    <n v="3"/>
    <n v="2"/>
    <n v="0"/>
    <n v="2"/>
    <x v="3"/>
    <n v="20745"/>
    <x v="1"/>
    <n v="0"/>
  </r>
  <r>
    <n v="45"/>
    <x v="1"/>
    <s v="Travel_Rarely"/>
    <n v="1005"/>
    <x v="1"/>
    <n v="28"/>
    <n v="2"/>
    <s v="Technical Degree"/>
    <n v="1719"/>
    <n v="4"/>
    <s v="Female"/>
    <n v="48"/>
    <n v="2"/>
    <n v="4"/>
    <x v="7"/>
    <n v="2"/>
    <s v="Single"/>
    <n v="16704"/>
    <n v="17119"/>
    <n v="1"/>
    <s v="No"/>
    <n v="11"/>
    <n v="3"/>
    <n v="3"/>
    <n v="0"/>
    <n v="21"/>
    <n v="2"/>
    <n v="3"/>
    <n v="21"/>
    <n v="6"/>
    <n v="8"/>
    <n v="6"/>
    <x v="1"/>
    <n v="150336"/>
    <x v="0"/>
    <n v="0"/>
  </r>
  <r>
    <n v="32"/>
    <x v="1"/>
    <s v="Travel_Frequently"/>
    <n v="585"/>
    <x v="1"/>
    <n v="10"/>
    <n v="3"/>
    <s v="Life Sciences"/>
    <n v="1720"/>
    <n v="1"/>
    <s v="Male"/>
    <n v="56"/>
    <n v="3"/>
    <n v="1"/>
    <x v="1"/>
    <n v="3"/>
    <s v="Married"/>
    <n v="3433"/>
    <n v="17360"/>
    <n v="6"/>
    <s v="No"/>
    <n v="13"/>
    <n v="3"/>
    <n v="1"/>
    <n v="1"/>
    <n v="10"/>
    <n v="3"/>
    <n v="2"/>
    <n v="5"/>
    <n v="2"/>
    <n v="1"/>
    <n v="3"/>
    <x v="0"/>
    <n v="30897"/>
    <x v="1"/>
    <n v="0"/>
  </r>
  <r>
    <n v="31"/>
    <x v="1"/>
    <s v="Travel_Rarely"/>
    <n v="741"/>
    <x v="1"/>
    <n v="2"/>
    <n v="4"/>
    <s v="Life Sciences"/>
    <n v="1721"/>
    <n v="2"/>
    <s v="Male"/>
    <n v="69"/>
    <n v="3"/>
    <n v="1"/>
    <x v="2"/>
    <n v="3"/>
    <s v="Married"/>
    <n v="3477"/>
    <n v="18103"/>
    <n v="1"/>
    <s v="No"/>
    <n v="14"/>
    <n v="3"/>
    <n v="4"/>
    <n v="1"/>
    <n v="6"/>
    <n v="2"/>
    <n v="4"/>
    <n v="5"/>
    <n v="2"/>
    <n v="0"/>
    <n v="3"/>
    <x v="0"/>
    <n v="31293"/>
    <x v="1"/>
    <n v="0"/>
  </r>
  <r>
    <n v="41"/>
    <x v="1"/>
    <s v="Non-Travel"/>
    <n v="552"/>
    <x v="2"/>
    <n v="4"/>
    <n v="3"/>
    <s v="Human Resources"/>
    <n v="1722"/>
    <n v="3"/>
    <s v="Male"/>
    <n v="60"/>
    <n v="1"/>
    <n v="2"/>
    <x v="8"/>
    <n v="2"/>
    <s v="Married"/>
    <n v="6430"/>
    <n v="20794"/>
    <n v="6"/>
    <s v="No"/>
    <n v="19"/>
    <n v="3"/>
    <n v="2"/>
    <n v="1"/>
    <n v="10"/>
    <n v="4"/>
    <n v="3"/>
    <n v="3"/>
    <n v="2"/>
    <n v="1"/>
    <n v="2"/>
    <x v="3"/>
    <n v="57870"/>
    <x v="0"/>
    <n v="0"/>
  </r>
  <r>
    <n v="40"/>
    <x v="1"/>
    <s v="Travel_Rarely"/>
    <n v="369"/>
    <x v="1"/>
    <n v="8"/>
    <n v="2"/>
    <s v="Life Sciences"/>
    <n v="1724"/>
    <n v="2"/>
    <s v="Female"/>
    <n v="92"/>
    <n v="3"/>
    <n v="2"/>
    <x v="3"/>
    <n v="1"/>
    <s v="Married"/>
    <n v="6516"/>
    <n v="5041"/>
    <n v="2"/>
    <s v="Yes"/>
    <n v="16"/>
    <n v="3"/>
    <n v="2"/>
    <n v="1"/>
    <n v="18"/>
    <n v="3"/>
    <n v="3"/>
    <n v="1"/>
    <n v="0"/>
    <n v="0"/>
    <n v="0"/>
    <x v="3"/>
    <n v="58644"/>
    <x v="2"/>
    <n v="0"/>
  </r>
  <r>
    <n v="24"/>
    <x v="1"/>
    <s v="Travel_Rarely"/>
    <n v="506"/>
    <x v="1"/>
    <n v="29"/>
    <n v="1"/>
    <s v="Medical"/>
    <n v="1725"/>
    <n v="2"/>
    <s v="Male"/>
    <n v="91"/>
    <n v="3"/>
    <n v="1"/>
    <x v="2"/>
    <n v="1"/>
    <s v="Divorced"/>
    <n v="3907"/>
    <n v="3622"/>
    <n v="1"/>
    <s v="No"/>
    <n v="13"/>
    <n v="3"/>
    <n v="2"/>
    <n v="3"/>
    <n v="6"/>
    <n v="2"/>
    <n v="4"/>
    <n v="6"/>
    <n v="2"/>
    <n v="1"/>
    <n v="2"/>
    <x v="0"/>
    <n v="35163"/>
    <x v="0"/>
    <n v="0"/>
  </r>
  <r>
    <n v="46"/>
    <x v="1"/>
    <s v="Travel_Rarely"/>
    <n v="717"/>
    <x v="1"/>
    <n v="13"/>
    <n v="4"/>
    <s v="Life Sciences"/>
    <n v="1727"/>
    <n v="3"/>
    <s v="Male"/>
    <n v="34"/>
    <n v="3"/>
    <n v="2"/>
    <x v="4"/>
    <n v="2"/>
    <s v="Single"/>
    <n v="5562"/>
    <n v="9697"/>
    <n v="6"/>
    <s v="No"/>
    <n v="14"/>
    <n v="3"/>
    <n v="4"/>
    <n v="0"/>
    <n v="19"/>
    <n v="3"/>
    <n v="3"/>
    <n v="10"/>
    <n v="7"/>
    <n v="0"/>
    <n v="9"/>
    <x v="1"/>
    <n v="50058"/>
    <x v="0"/>
    <n v="0"/>
  </r>
  <r>
    <n v="35"/>
    <x v="1"/>
    <s v="Travel_Rarely"/>
    <n v="1370"/>
    <x v="1"/>
    <n v="27"/>
    <n v="4"/>
    <s v="Life Sciences"/>
    <n v="1728"/>
    <n v="4"/>
    <s v="Male"/>
    <n v="49"/>
    <n v="3"/>
    <n v="2"/>
    <x v="3"/>
    <n v="3"/>
    <s v="Married"/>
    <n v="6883"/>
    <n v="5151"/>
    <n v="2"/>
    <s v="No"/>
    <n v="16"/>
    <n v="3"/>
    <n v="2"/>
    <n v="1"/>
    <n v="17"/>
    <n v="3"/>
    <n v="3"/>
    <n v="7"/>
    <n v="7"/>
    <n v="0"/>
    <n v="7"/>
    <x v="1"/>
    <n v="61947"/>
    <x v="1"/>
    <n v="0"/>
  </r>
  <r>
    <n v="30"/>
    <x v="1"/>
    <s v="Travel_Rarely"/>
    <n v="793"/>
    <x v="1"/>
    <n v="16"/>
    <n v="1"/>
    <s v="Life Sciences"/>
    <n v="1729"/>
    <n v="2"/>
    <s v="Male"/>
    <n v="33"/>
    <n v="3"/>
    <n v="1"/>
    <x v="1"/>
    <n v="4"/>
    <s v="Married"/>
    <n v="2862"/>
    <n v="3811"/>
    <n v="1"/>
    <s v="No"/>
    <n v="12"/>
    <n v="3"/>
    <n v="2"/>
    <n v="1"/>
    <n v="10"/>
    <n v="2"/>
    <n v="2"/>
    <n v="10"/>
    <n v="0"/>
    <n v="0"/>
    <n v="8"/>
    <x v="1"/>
    <n v="25758"/>
    <x v="1"/>
    <n v="0"/>
  </r>
  <r>
    <n v="47"/>
    <x v="1"/>
    <s v="Non-Travel"/>
    <n v="543"/>
    <x v="0"/>
    <n v="2"/>
    <n v="4"/>
    <s v="Marketing"/>
    <n v="1731"/>
    <n v="3"/>
    <s v="Male"/>
    <n v="87"/>
    <n v="3"/>
    <n v="2"/>
    <x v="0"/>
    <n v="2"/>
    <s v="Married"/>
    <n v="4978"/>
    <n v="3536"/>
    <n v="7"/>
    <s v="No"/>
    <n v="11"/>
    <n v="3"/>
    <n v="4"/>
    <n v="1"/>
    <n v="4"/>
    <n v="3"/>
    <n v="1"/>
    <n v="1"/>
    <n v="0"/>
    <n v="0"/>
    <n v="0"/>
    <x v="3"/>
    <n v="44802"/>
    <x v="0"/>
    <n v="0"/>
  </r>
  <r>
    <n v="46"/>
    <x v="1"/>
    <s v="Travel_Rarely"/>
    <n v="1277"/>
    <x v="0"/>
    <n v="2"/>
    <n v="3"/>
    <s v="Life Sciences"/>
    <n v="1732"/>
    <n v="3"/>
    <s v="Male"/>
    <n v="74"/>
    <n v="3"/>
    <n v="3"/>
    <x v="0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  <x v="1"/>
    <n v="93312"/>
    <x v="0"/>
    <n v="0"/>
  </r>
  <r>
    <n v="36"/>
    <x v="0"/>
    <s v="Travel_Rarely"/>
    <n v="1456"/>
    <x v="0"/>
    <n v="13"/>
    <n v="5"/>
    <s v="Marketing"/>
    <n v="1733"/>
    <n v="2"/>
    <s v="Male"/>
    <n v="96"/>
    <n v="2"/>
    <n v="2"/>
    <x v="0"/>
    <n v="1"/>
    <s v="Divorced"/>
    <n v="6134"/>
    <n v="8658"/>
    <n v="5"/>
    <s v="Yes"/>
    <n v="13"/>
    <n v="3"/>
    <n v="2"/>
    <n v="3"/>
    <n v="16"/>
    <n v="3"/>
    <n v="3"/>
    <n v="2"/>
    <n v="2"/>
    <n v="2"/>
    <n v="2"/>
    <x v="3"/>
    <n v="55206"/>
    <x v="2"/>
    <n v="55206"/>
  </r>
  <r>
    <n v="32"/>
    <x v="0"/>
    <s v="Travel_Rarely"/>
    <n v="964"/>
    <x v="0"/>
    <n v="1"/>
    <n v="2"/>
    <s v="Life Sciences"/>
    <n v="1734"/>
    <n v="1"/>
    <s v="Male"/>
    <n v="34"/>
    <n v="1"/>
    <n v="2"/>
    <x v="0"/>
    <n v="2"/>
    <s v="Single"/>
    <n v="6735"/>
    <n v="12147"/>
    <n v="6"/>
    <s v="No"/>
    <n v="15"/>
    <n v="3"/>
    <n v="2"/>
    <n v="0"/>
    <n v="10"/>
    <n v="2"/>
    <n v="3"/>
    <n v="0"/>
    <n v="0"/>
    <n v="0"/>
    <n v="0"/>
    <x v="2"/>
    <n v="60615"/>
    <x v="0"/>
    <n v="60615"/>
  </r>
  <r>
    <n v="23"/>
    <x v="1"/>
    <s v="Travel_Rarely"/>
    <n v="160"/>
    <x v="1"/>
    <n v="4"/>
    <n v="1"/>
    <s v="Medical"/>
    <n v="1735"/>
    <n v="3"/>
    <s v="Female"/>
    <n v="51"/>
    <n v="3"/>
    <n v="1"/>
    <x v="2"/>
    <n v="2"/>
    <s v="Single"/>
    <n v="3295"/>
    <n v="12862"/>
    <n v="1"/>
    <s v="No"/>
    <n v="13"/>
    <n v="3"/>
    <n v="3"/>
    <n v="0"/>
    <n v="3"/>
    <n v="3"/>
    <n v="1"/>
    <n v="3"/>
    <n v="2"/>
    <n v="1"/>
    <n v="2"/>
    <x v="3"/>
    <n v="29655"/>
    <x v="0"/>
    <n v="0"/>
  </r>
  <r>
    <n v="31"/>
    <x v="1"/>
    <s v="Travel_Frequently"/>
    <n v="163"/>
    <x v="1"/>
    <n v="24"/>
    <n v="1"/>
    <s v="Technical Degree"/>
    <n v="1736"/>
    <n v="4"/>
    <s v="Female"/>
    <n v="30"/>
    <n v="3"/>
    <n v="2"/>
    <x v="3"/>
    <n v="4"/>
    <s v="Single"/>
    <n v="5238"/>
    <n v="6670"/>
    <n v="2"/>
    <s v="No"/>
    <n v="20"/>
    <n v="4"/>
    <n v="4"/>
    <n v="0"/>
    <n v="9"/>
    <n v="3"/>
    <n v="2"/>
    <n v="5"/>
    <n v="4"/>
    <n v="1"/>
    <n v="4"/>
    <x v="0"/>
    <n v="47142"/>
    <x v="1"/>
    <n v="0"/>
  </r>
  <r>
    <n v="39"/>
    <x v="1"/>
    <s v="Non-Travel"/>
    <n v="792"/>
    <x v="1"/>
    <n v="1"/>
    <n v="3"/>
    <s v="Life Sciences"/>
    <n v="1737"/>
    <n v="4"/>
    <s v="Male"/>
    <n v="77"/>
    <n v="3"/>
    <n v="2"/>
    <x v="2"/>
    <n v="4"/>
    <s v="Married"/>
    <n v="6472"/>
    <n v="8989"/>
    <n v="1"/>
    <s v="Yes"/>
    <n v="15"/>
    <n v="3"/>
    <n v="4"/>
    <n v="1"/>
    <n v="9"/>
    <n v="2"/>
    <n v="3"/>
    <n v="9"/>
    <n v="8"/>
    <n v="5"/>
    <n v="8"/>
    <x v="1"/>
    <n v="58248"/>
    <x v="0"/>
    <n v="0"/>
  </r>
  <r>
    <n v="32"/>
    <x v="1"/>
    <s v="Travel_Rarely"/>
    <n v="371"/>
    <x v="0"/>
    <n v="19"/>
    <n v="3"/>
    <s v="Life Sciences"/>
    <n v="1739"/>
    <n v="4"/>
    <s v="Male"/>
    <n v="80"/>
    <n v="1"/>
    <n v="3"/>
    <x v="0"/>
    <n v="3"/>
    <s v="Married"/>
    <n v="9610"/>
    <n v="3840"/>
    <n v="3"/>
    <s v="No"/>
    <n v="13"/>
    <n v="3"/>
    <n v="3"/>
    <n v="1"/>
    <n v="10"/>
    <n v="2"/>
    <n v="1"/>
    <n v="4"/>
    <n v="3"/>
    <n v="0"/>
    <n v="2"/>
    <x v="0"/>
    <n v="86490"/>
    <x v="1"/>
    <n v="0"/>
  </r>
  <r>
    <n v="40"/>
    <x v="1"/>
    <s v="Travel_Rarely"/>
    <n v="611"/>
    <x v="0"/>
    <n v="7"/>
    <n v="4"/>
    <s v="Medical"/>
    <n v="1740"/>
    <n v="2"/>
    <s v="Male"/>
    <n v="88"/>
    <n v="3"/>
    <n v="5"/>
    <x v="5"/>
    <n v="2"/>
    <s v="Single"/>
    <n v="19833"/>
    <n v="4349"/>
    <n v="1"/>
    <s v="No"/>
    <n v="14"/>
    <n v="3"/>
    <n v="2"/>
    <n v="0"/>
    <n v="21"/>
    <n v="3"/>
    <n v="2"/>
    <n v="21"/>
    <n v="8"/>
    <n v="12"/>
    <n v="8"/>
    <x v="1"/>
    <n v="178497"/>
    <x v="0"/>
    <n v="0"/>
  </r>
  <r>
    <n v="45"/>
    <x v="1"/>
    <s v="Travel_Rarely"/>
    <n v="176"/>
    <x v="2"/>
    <n v="4"/>
    <n v="3"/>
    <s v="Life Sciences"/>
    <n v="1744"/>
    <n v="3"/>
    <s v="Female"/>
    <n v="56"/>
    <n v="1"/>
    <n v="3"/>
    <x v="8"/>
    <n v="3"/>
    <s v="Married"/>
    <n v="9756"/>
    <n v="6595"/>
    <n v="4"/>
    <s v="No"/>
    <n v="21"/>
    <n v="4"/>
    <n v="3"/>
    <n v="2"/>
    <n v="9"/>
    <n v="2"/>
    <n v="4"/>
    <n v="5"/>
    <n v="0"/>
    <n v="0"/>
    <n v="3"/>
    <x v="0"/>
    <n v="87804"/>
    <x v="1"/>
    <n v="0"/>
  </r>
  <r>
    <n v="30"/>
    <x v="1"/>
    <s v="Travel_Frequently"/>
    <n v="1312"/>
    <x v="1"/>
    <n v="2"/>
    <n v="4"/>
    <s v="Technical Degree"/>
    <n v="1745"/>
    <n v="4"/>
    <s v="Female"/>
    <n v="78"/>
    <n v="2"/>
    <n v="1"/>
    <x v="1"/>
    <n v="1"/>
    <s v="Single"/>
    <n v="4968"/>
    <n v="26427"/>
    <n v="0"/>
    <s v="No"/>
    <n v="16"/>
    <n v="3"/>
    <n v="4"/>
    <n v="0"/>
    <n v="10"/>
    <n v="2"/>
    <n v="3"/>
    <n v="9"/>
    <n v="7"/>
    <n v="0"/>
    <n v="7"/>
    <x v="1"/>
    <n v="44712"/>
    <x v="0"/>
    <n v="0"/>
  </r>
  <r>
    <n v="24"/>
    <x v="1"/>
    <s v="Travel_Frequently"/>
    <n v="897"/>
    <x v="2"/>
    <n v="10"/>
    <n v="3"/>
    <s v="Medical"/>
    <n v="1746"/>
    <n v="1"/>
    <s v="Male"/>
    <n v="59"/>
    <n v="3"/>
    <n v="1"/>
    <x v="8"/>
    <n v="4"/>
    <s v="Married"/>
    <n v="2145"/>
    <n v="2097"/>
    <n v="0"/>
    <s v="No"/>
    <n v="14"/>
    <n v="3"/>
    <n v="4"/>
    <n v="1"/>
    <n v="3"/>
    <n v="2"/>
    <n v="3"/>
    <n v="2"/>
    <n v="2"/>
    <n v="2"/>
    <n v="1"/>
    <x v="3"/>
    <n v="19305"/>
    <x v="1"/>
    <n v="0"/>
  </r>
  <r>
    <n v="30"/>
    <x v="0"/>
    <s v="Travel_Frequently"/>
    <n v="600"/>
    <x v="2"/>
    <n v="8"/>
    <n v="3"/>
    <s v="Human Resources"/>
    <n v="1747"/>
    <n v="3"/>
    <s v="Female"/>
    <n v="66"/>
    <n v="2"/>
    <n v="1"/>
    <x v="8"/>
    <n v="4"/>
    <s v="Divorced"/>
    <n v="2180"/>
    <n v="9732"/>
    <n v="6"/>
    <s v="No"/>
    <n v="11"/>
    <n v="3"/>
    <n v="3"/>
    <n v="1"/>
    <n v="6"/>
    <n v="0"/>
    <n v="2"/>
    <n v="4"/>
    <n v="2"/>
    <n v="1"/>
    <n v="2"/>
    <x v="0"/>
    <n v="19620"/>
    <x v="1"/>
    <n v="19620"/>
  </r>
  <r>
    <n v="31"/>
    <x v="1"/>
    <s v="Travel_Rarely"/>
    <n v="1003"/>
    <x v="0"/>
    <n v="5"/>
    <n v="3"/>
    <s v="Technical Degree"/>
    <n v="1749"/>
    <n v="1"/>
    <s v="Male"/>
    <n v="51"/>
    <n v="3"/>
    <n v="2"/>
    <x v="0"/>
    <n v="3"/>
    <s v="Married"/>
    <n v="8346"/>
    <n v="20943"/>
    <n v="1"/>
    <s v="No"/>
    <n v="19"/>
    <n v="3"/>
    <n v="3"/>
    <n v="1"/>
    <n v="6"/>
    <n v="3"/>
    <n v="3"/>
    <n v="5"/>
    <n v="2"/>
    <n v="0"/>
    <n v="2"/>
    <x v="0"/>
    <n v="75114"/>
    <x v="1"/>
    <n v="0"/>
  </r>
  <r>
    <n v="27"/>
    <x v="1"/>
    <s v="Travel_Rarely"/>
    <n v="1054"/>
    <x v="1"/>
    <n v="8"/>
    <n v="3"/>
    <s v="Medical"/>
    <n v="1751"/>
    <n v="3"/>
    <s v="Female"/>
    <n v="67"/>
    <n v="3"/>
    <n v="1"/>
    <x v="1"/>
    <n v="4"/>
    <s v="Single"/>
    <n v="3445"/>
    <n v="6152"/>
    <n v="1"/>
    <s v="No"/>
    <n v="11"/>
    <n v="3"/>
    <n v="3"/>
    <n v="0"/>
    <n v="6"/>
    <n v="5"/>
    <n v="2"/>
    <n v="6"/>
    <n v="2"/>
    <n v="1"/>
    <n v="4"/>
    <x v="0"/>
    <n v="31005"/>
    <x v="1"/>
    <n v="0"/>
  </r>
  <r>
    <n v="29"/>
    <x v="0"/>
    <s v="Travel_Rarely"/>
    <n v="428"/>
    <x v="0"/>
    <n v="9"/>
    <n v="3"/>
    <s v="Marketing"/>
    <n v="1752"/>
    <n v="2"/>
    <s v="Female"/>
    <n v="52"/>
    <n v="1"/>
    <n v="1"/>
    <x v="6"/>
    <n v="2"/>
    <s v="Single"/>
    <n v="2760"/>
    <n v="14630"/>
    <n v="1"/>
    <s v="No"/>
    <n v="13"/>
    <n v="3"/>
    <n v="3"/>
    <n v="0"/>
    <n v="2"/>
    <n v="3"/>
    <n v="3"/>
    <n v="2"/>
    <n v="2"/>
    <n v="2"/>
    <n v="2"/>
    <x v="3"/>
    <n v="24840"/>
    <x v="0"/>
    <n v="24840"/>
  </r>
  <r>
    <n v="29"/>
    <x v="1"/>
    <s v="Travel_Frequently"/>
    <n v="461"/>
    <x v="1"/>
    <n v="1"/>
    <n v="3"/>
    <s v="Life Sciences"/>
    <n v="1753"/>
    <n v="4"/>
    <s v="Male"/>
    <n v="70"/>
    <n v="4"/>
    <n v="2"/>
    <x v="4"/>
    <n v="3"/>
    <s v="Single"/>
    <n v="6294"/>
    <n v="23060"/>
    <n v="8"/>
    <s v="Yes"/>
    <n v="12"/>
    <n v="3"/>
    <n v="4"/>
    <n v="0"/>
    <n v="10"/>
    <n v="5"/>
    <n v="4"/>
    <n v="3"/>
    <n v="2"/>
    <n v="0"/>
    <n v="2"/>
    <x v="3"/>
    <n v="56646"/>
    <x v="0"/>
    <n v="0"/>
  </r>
  <r>
    <n v="30"/>
    <x v="1"/>
    <s v="Travel_Rarely"/>
    <n v="979"/>
    <x v="0"/>
    <n v="15"/>
    <n v="2"/>
    <s v="Marketing"/>
    <n v="1754"/>
    <n v="3"/>
    <s v="Male"/>
    <n v="94"/>
    <n v="2"/>
    <n v="3"/>
    <x v="0"/>
    <n v="1"/>
    <s v="Divorced"/>
    <n v="7140"/>
    <n v="3088"/>
    <n v="2"/>
    <s v="No"/>
    <n v="11"/>
    <n v="3"/>
    <n v="1"/>
    <n v="1"/>
    <n v="12"/>
    <n v="2"/>
    <n v="3"/>
    <n v="7"/>
    <n v="7"/>
    <n v="1"/>
    <n v="7"/>
    <x v="1"/>
    <n v="64260"/>
    <x v="0"/>
    <n v="0"/>
  </r>
  <r>
    <n v="34"/>
    <x v="1"/>
    <s v="Travel_Rarely"/>
    <n v="181"/>
    <x v="1"/>
    <n v="2"/>
    <n v="4"/>
    <s v="Medical"/>
    <n v="1755"/>
    <n v="4"/>
    <s v="Male"/>
    <n v="97"/>
    <n v="4"/>
    <n v="1"/>
    <x v="1"/>
    <n v="4"/>
    <s v="Married"/>
    <n v="2932"/>
    <n v="5586"/>
    <n v="0"/>
    <s v="Yes"/>
    <n v="14"/>
    <n v="3"/>
    <n v="1"/>
    <n v="3"/>
    <n v="6"/>
    <n v="3"/>
    <n v="3"/>
    <n v="5"/>
    <n v="0"/>
    <n v="1"/>
    <n v="2"/>
    <x v="0"/>
    <n v="26388"/>
    <x v="0"/>
    <n v="0"/>
  </r>
  <r>
    <n v="33"/>
    <x v="1"/>
    <s v="Non-Travel"/>
    <n v="1283"/>
    <x v="0"/>
    <n v="2"/>
    <n v="3"/>
    <s v="Marketing"/>
    <n v="1756"/>
    <n v="4"/>
    <s v="Female"/>
    <n v="62"/>
    <n v="3"/>
    <n v="2"/>
    <x v="0"/>
    <n v="2"/>
    <s v="Single"/>
    <n v="5147"/>
    <n v="10697"/>
    <n v="8"/>
    <s v="No"/>
    <n v="15"/>
    <n v="3"/>
    <n v="4"/>
    <n v="0"/>
    <n v="13"/>
    <n v="2"/>
    <n v="2"/>
    <n v="11"/>
    <n v="7"/>
    <n v="1"/>
    <n v="7"/>
    <x v="1"/>
    <n v="46323"/>
    <x v="0"/>
    <n v="0"/>
  </r>
  <r>
    <n v="49"/>
    <x v="1"/>
    <s v="Travel_Rarely"/>
    <n v="1313"/>
    <x v="0"/>
    <n v="11"/>
    <n v="4"/>
    <s v="Marketing"/>
    <n v="1757"/>
    <n v="4"/>
    <s v="Female"/>
    <n v="80"/>
    <n v="3"/>
    <n v="2"/>
    <x v="0"/>
    <n v="4"/>
    <s v="Single"/>
    <n v="4507"/>
    <n v="8191"/>
    <n v="3"/>
    <s v="No"/>
    <n v="12"/>
    <n v="3"/>
    <n v="3"/>
    <n v="0"/>
    <n v="8"/>
    <n v="1"/>
    <n v="4"/>
    <n v="5"/>
    <n v="1"/>
    <n v="0"/>
    <n v="4"/>
    <x v="0"/>
    <n v="40563"/>
    <x v="1"/>
    <n v="0"/>
  </r>
  <r>
    <n v="33"/>
    <x v="0"/>
    <s v="Travel_Rarely"/>
    <n v="211"/>
    <x v="0"/>
    <n v="16"/>
    <n v="3"/>
    <s v="Life Sciences"/>
    <n v="1758"/>
    <n v="1"/>
    <s v="Female"/>
    <n v="74"/>
    <n v="3"/>
    <n v="3"/>
    <x v="0"/>
    <n v="1"/>
    <s v="Single"/>
    <n v="8564"/>
    <n v="10092"/>
    <n v="2"/>
    <s v="Yes"/>
    <n v="20"/>
    <n v="4"/>
    <n v="3"/>
    <n v="0"/>
    <n v="11"/>
    <n v="2"/>
    <n v="2"/>
    <n v="0"/>
    <n v="0"/>
    <n v="0"/>
    <n v="0"/>
    <x v="2"/>
    <n v="77076"/>
    <x v="2"/>
    <n v="77076"/>
  </r>
  <r>
    <n v="38"/>
    <x v="1"/>
    <s v="Travel_Frequently"/>
    <n v="594"/>
    <x v="1"/>
    <n v="2"/>
    <n v="2"/>
    <s v="Medical"/>
    <n v="1760"/>
    <n v="3"/>
    <s v="Female"/>
    <n v="75"/>
    <n v="2"/>
    <n v="1"/>
    <x v="2"/>
    <n v="2"/>
    <s v="Married"/>
    <n v="2468"/>
    <n v="15963"/>
    <n v="4"/>
    <s v="No"/>
    <n v="14"/>
    <n v="3"/>
    <n v="2"/>
    <n v="1"/>
    <n v="9"/>
    <n v="4"/>
    <n v="2"/>
    <n v="6"/>
    <n v="1"/>
    <n v="0"/>
    <n v="5"/>
    <x v="0"/>
    <n v="22212"/>
    <x v="0"/>
    <n v="0"/>
  </r>
  <r>
    <n v="31"/>
    <x v="0"/>
    <s v="Travel_Rarely"/>
    <n v="1079"/>
    <x v="0"/>
    <n v="16"/>
    <n v="4"/>
    <s v="Marketing"/>
    <n v="1761"/>
    <n v="1"/>
    <s v="Male"/>
    <n v="70"/>
    <n v="3"/>
    <n v="3"/>
    <x v="0"/>
    <n v="3"/>
    <s v="Married"/>
    <n v="8161"/>
    <n v="19002"/>
    <n v="2"/>
    <s v="No"/>
    <n v="13"/>
    <n v="3"/>
    <n v="1"/>
    <n v="3"/>
    <n v="10"/>
    <n v="2"/>
    <n v="3"/>
    <n v="1"/>
    <n v="0"/>
    <n v="0"/>
    <n v="0"/>
    <x v="3"/>
    <n v="73449"/>
    <x v="1"/>
    <n v="73449"/>
  </r>
  <r>
    <n v="29"/>
    <x v="1"/>
    <s v="Travel_Rarely"/>
    <n v="590"/>
    <x v="1"/>
    <n v="4"/>
    <n v="3"/>
    <s v="Technical Degree"/>
    <n v="1762"/>
    <n v="4"/>
    <s v="Female"/>
    <n v="91"/>
    <n v="2"/>
    <n v="1"/>
    <x v="1"/>
    <n v="1"/>
    <s v="Divorced"/>
    <n v="2109"/>
    <n v="10007"/>
    <n v="1"/>
    <s v="No"/>
    <n v="13"/>
    <n v="3"/>
    <n v="3"/>
    <n v="1"/>
    <n v="1"/>
    <n v="2"/>
    <n v="3"/>
    <n v="1"/>
    <n v="0"/>
    <n v="0"/>
    <n v="0"/>
    <x v="3"/>
    <n v="18981"/>
    <x v="0"/>
    <n v="0"/>
  </r>
  <r>
    <n v="30"/>
    <x v="1"/>
    <s v="Travel_Rarely"/>
    <n v="305"/>
    <x v="1"/>
    <n v="16"/>
    <n v="3"/>
    <s v="Life Sciences"/>
    <n v="1763"/>
    <n v="3"/>
    <s v="Male"/>
    <n v="58"/>
    <n v="4"/>
    <n v="2"/>
    <x v="4"/>
    <n v="3"/>
    <s v="Married"/>
    <n v="5294"/>
    <n v="9128"/>
    <n v="3"/>
    <s v="No"/>
    <n v="16"/>
    <n v="3"/>
    <n v="3"/>
    <n v="1"/>
    <n v="10"/>
    <n v="3"/>
    <n v="3"/>
    <n v="7"/>
    <n v="0"/>
    <n v="1"/>
    <n v="7"/>
    <x v="1"/>
    <n v="47646"/>
    <x v="1"/>
    <n v="0"/>
  </r>
  <r>
    <n v="32"/>
    <x v="1"/>
    <s v="Non-Travel"/>
    <n v="953"/>
    <x v="1"/>
    <n v="5"/>
    <n v="4"/>
    <s v="Technical Degree"/>
    <n v="1764"/>
    <n v="2"/>
    <s v="Male"/>
    <n v="65"/>
    <n v="3"/>
    <n v="1"/>
    <x v="1"/>
    <n v="2"/>
    <s v="Single"/>
    <n v="2718"/>
    <n v="17674"/>
    <n v="2"/>
    <s v="No"/>
    <n v="14"/>
    <n v="3"/>
    <n v="2"/>
    <n v="0"/>
    <n v="12"/>
    <n v="3"/>
    <n v="3"/>
    <n v="7"/>
    <n v="7"/>
    <n v="0"/>
    <n v="7"/>
    <x v="1"/>
    <n v="24462"/>
    <x v="0"/>
    <n v="0"/>
  </r>
  <r>
    <n v="38"/>
    <x v="1"/>
    <s v="Travel_Rarely"/>
    <n v="833"/>
    <x v="1"/>
    <n v="18"/>
    <n v="3"/>
    <s v="Medical"/>
    <n v="1766"/>
    <n v="2"/>
    <s v="Male"/>
    <n v="60"/>
    <n v="1"/>
    <n v="2"/>
    <x v="4"/>
    <n v="4"/>
    <s v="Married"/>
    <n v="5811"/>
    <n v="24539"/>
    <n v="3"/>
    <s v="Yes"/>
    <n v="16"/>
    <n v="3"/>
    <n v="3"/>
    <n v="1"/>
    <n v="15"/>
    <n v="2"/>
    <n v="3"/>
    <n v="1"/>
    <n v="0"/>
    <n v="1"/>
    <n v="0"/>
    <x v="3"/>
    <n v="52299"/>
    <x v="0"/>
    <n v="0"/>
  </r>
  <r>
    <n v="43"/>
    <x v="0"/>
    <s v="Travel_Frequently"/>
    <n v="807"/>
    <x v="1"/>
    <n v="17"/>
    <n v="3"/>
    <s v="Technical Degree"/>
    <n v="1767"/>
    <n v="3"/>
    <s v="Male"/>
    <n v="38"/>
    <n v="2"/>
    <n v="1"/>
    <x v="1"/>
    <n v="3"/>
    <s v="Married"/>
    <n v="2437"/>
    <n v="15587"/>
    <n v="9"/>
    <s v="Yes"/>
    <n v="16"/>
    <n v="3"/>
    <n v="4"/>
    <n v="1"/>
    <n v="6"/>
    <n v="4"/>
    <n v="3"/>
    <n v="1"/>
    <n v="0"/>
    <n v="0"/>
    <n v="0"/>
    <x v="3"/>
    <n v="21933"/>
    <x v="0"/>
    <n v="21933"/>
  </r>
  <r>
    <n v="42"/>
    <x v="1"/>
    <s v="Travel_Rarely"/>
    <n v="855"/>
    <x v="1"/>
    <n v="12"/>
    <n v="3"/>
    <s v="Medical"/>
    <n v="1768"/>
    <n v="2"/>
    <s v="Male"/>
    <n v="57"/>
    <n v="3"/>
    <n v="1"/>
    <x v="2"/>
    <n v="2"/>
    <s v="Divorced"/>
    <n v="2766"/>
    <n v="8952"/>
    <n v="8"/>
    <s v="No"/>
    <n v="22"/>
    <n v="4"/>
    <n v="2"/>
    <n v="3"/>
    <n v="7"/>
    <n v="6"/>
    <n v="2"/>
    <n v="5"/>
    <n v="3"/>
    <n v="0"/>
    <n v="4"/>
    <x v="0"/>
    <n v="24894"/>
    <x v="0"/>
    <n v="0"/>
  </r>
  <r>
    <n v="55"/>
    <x v="1"/>
    <s v="Travel_Rarely"/>
    <n v="478"/>
    <x v="1"/>
    <n v="2"/>
    <n v="3"/>
    <s v="Medical"/>
    <n v="1770"/>
    <n v="3"/>
    <s v="Male"/>
    <n v="60"/>
    <n v="2"/>
    <n v="5"/>
    <x v="7"/>
    <n v="1"/>
    <s v="Married"/>
    <n v="19038"/>
    <n v="19805"/>
    <n v="8"/>
    <s v="No"/>
    <n v="12"/>
    <n v="3"/>
    <n v="2"/>
    <n v="3"/>
    <n v="34"/>
    <n v="2"/>
    <n v="3"/>
    <n v="1"/>
    <n v="0"/>
    <n v="0"/>
    <n v="0"/>
    <x v="3"/>
    <n v="171342"/>
    <x v="0"/>
    <n v="0"/>
  </r>
  <r>
    <n v="33"/>
    <x v="1"/>
    <s v="Non-Travel"/>
    <n v="775"/>
    <x v="1"/>
    <n v="4"/>
    <n v="3"/>
    <s v="Technical Degree"/>
    <n v="1771"/>
    <n v="4"/>
    <s v="Male"/>
    <n v="90"/>
    <n v="3"/>
    <n v="2"/>
    <x v="1"/>
    <n v="2"/>
    <s v="Divorced"/>
    <n v="3055"/>
    <n v="6194"/>
    <n v="5"/>
    <s v="No"/>
    <n v="15"/>
    <n v="3"/>
    <n v="4"/>
    <n v="2"/>
    <n v="11"/>
    <n v="2"/>
    <n v="2"/>
    <n v="9"/>
    <n v="8"/>
    <n v="1"/>
    <n v="7"/>
    <x v="1"/>
    <n v="27495"/>
    <x v="0"/>
    <n v="0"/>
  </r>
  <r>
    <n v="41"/>
    <x v="1"/>
    <s v="Travel_Rarely"/>
    <n v="548"/>
    <x v="1"/>
    <n v="9"/>
    <n v="4"/>
    <s v="Life Sciences"/>
    <n v="1772"/>
    <n v="3"/>
    <s v="Male"/>
    <n v="94"/>
    <n v="3"/>
    <n v="1"/>
    <x v="2"/>
    <n v="1"/>
    <s v="Divorced"/>
    <n v="2289"/>
    <n v="20520"/>
    <n v="1"/>
    <s v="No"/>
    <n v="20"/>
    <n v="4"/>
    <n v="2"/>
    <n v="2"/>
    <n v="5"/>
    <n v="2"/>
    <n v="3"/>
    <n v="5"/>
    <n v="3"/>
    <n v="0"/>
    <n v="4"/>
    <x v="0"/>
    <n v="20601"/>
    <x v="0"/>
    <n v="0"/>
  </r>
  <r>
    <n v="34"/>
    <x v="1"/>
    <s v="Non-Travel"/>
    <n v="1375"/>
    <x v="0"/>
    <n v="10"/>
    <n v="3"/>
    <s v="Life Sciences"/>
    <n v="1774"/>
    <n v="4"/>
    <s v="Male"/>
    <n v="87"/>
    <n v="3"/>
    <n v="2"/>
    <x v="0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  <x v="1"/>
    <n v="36009"/>
    <x v="0"/>
    <n v="0"/>
  </r>
  <r>
    <n v="53"/>
    <x v="1"/>
    <s v="Non-Travel"/>
    <n v="661"/>
    <x v="1"/>
    <n v="1"/>
    <n v="4"/>
    <s v="Medical"/>
    <n v="1775"/>
    <n v="1"/>
    <s v="Female"/>
    <n v="60"/>
    <n v="2"/>
    <n v="4"/>
    <x v="3"/>
    <n v="3"/>
    <s v="Married"/>
    <n v="12965"/>
    <n v="22308"/>
    <n v="4"/>
    <s v="Yes"/>
    <n v="20"/>
    <n v="4"/>
    <n v="4"/>
    <n v="3"/>
    <n v="27"/>
    <n v="2"/>
    <n v="2"/>
    <n v="3"/>
    <n v="2"/>
    <n v="0"/>
    <n v="2"/>
    <x v="3"/>
    <n v="116685"/>
    <x v="0"/>
    <n v="0"/>
  </r>
  <r>
    <n v="43"/>
    <x v="1"/>
    <s v="Travel_Rarely"/>
    <n v="244"/>
    <x v="2"/>
    <n v="2"/>
    <n v="3"/>
    <s v="Life Sciences"/>
    <n v="1778"/>
    <n v="2"/>
    <s v="Male"/>
    <n v="97"/>
    <n v="3"/>
    <n v="1"/>
    <x v="8"/>
    <n v="4"/>
    <s v="Single"/>
    <n v="3539"/>
    <n v="5033"/>
    <n v="0"/>
    <s v="No"/>
    <n v="13"/>
    <n v="3"/>
    <n v="2"/>
    <n v="0"/>
    <n v="10"/>
    <n v="5"/>
    <n v="3"/>
    <n v="9"/>
    <n v="7"/>
    <n v="1"/>
    <n v="8"/>
    <x v="1"/>
    <n v="31851"/>
    <x v="1"/>
    <n v="0"/>
  </r>
  <r>
    <n v="34"/>
    <x v="1"/>
    <s v="Travel_Rarely"/>
    <n v="511"/>
    <x v="0"/>
    <n v="3"/>
    <n v="2"/>
    <s v="Life Sciences"/>
    <n v="1779"/>
    <n v="4"/>
    <s v="Female"/>
    <n v="32"/>
    <n v="1"/>
    <n v="2"/>
    <x v="0"/>
    <n v="4"/>
    <s v="Single"/>
    <n v="6029"/>
    <n v="25353"/>
    <n v="5"/>
    <s v="No"/>
    <n v="12"/>
    <n v="3"/>
    <n v="1"/>
    <n v="0"/>
    <n v="6"/>
    <n v="3"/>
    <n v="3"/>
    <n v="2"/>
    <n v="2"/>
    <n v="2"/>
    <n v="2"/>
    <x v="3"/>
    <n v="54261"/>
    <x v="1"/>
    <n v="0"/>
  </r>
  <r>
    <n v="21"/>
    <x v="0"/>
    <s v="Travel_Rarely"/>
    <n v="337"/>
    <x v="0"/>
    <n v="7"/>
    <n v="1"/>
    <s v="Marketing"/>
    <n v="1780"/>
    <n v="2"/>
    <s v="Male"/>
    <n v="31"/>
    <n v="3"/>
    <n v="1"/>
    <x v="6"/>
    <n v="2"/>
    <s v="Single"/>
    <n v="2679"/>
    <n v="4567"/>
    <n v="1"/>
    <s v="No"/>
    <n v="13"/>
    <n v="3"/>
    <n v="2"/>
    <n v="0"/>
    <n v="1"/>
    <n v="3"/>
    <n v="3"/>
    <n v="1"/>
    <n v="0"/>
    <n v="1"/>
    <n v="0"/>
    <x v="3"/>
    <n v="24111"/>
    <x v="0"/>
    <n v="24111"/>
  </r>
  <r>
    <n v="38"/>
    <x v="1"/>
    <s v="Travel_Rarely"/>
    <n v="1153"/>
    <x v="1"/>
    <n v="6"/>
    <n v="2"/>
    <s v="Other"/>
    <n v="1782"/>
    <n v="4"/>
    <s v="Female"/>
    <n v="40"/>
    <n v="2"/>
    <n v="1"/>
    <x v="2"/>
    <n v="3"/>
    <s v="Married"/>
    <n v="3702"/>
    <n v="16376"/>
    <n v="1"/>
    <s v="No"/>
    <n v="11"/>
    <n v="3"/>
    <n v="2"/>
    <n v="1"/>
    <n v="5"/>
    <n v="3"/>
    <n v="3"/>
    <n v="5"/>
    <n v="4"/>
    <n v="0"/>
    <n v="4"/>
    <x v="0"/>
    <n v="33318"/>
    <x v="1"/>
    <n v="0"/>
  </r>
  <r>
    <n v="22"/>
    <x v="0"/>
    <s v="Travel_Rarely"/>
    <n v="1294"/>
    <x v="1"/>
    <n v="8"/>
    <n v="1"/>
    <s v="Medical"/>
    <n v="1783"/>
    <n v="3"/>
    <s v="Female"/>
    <n v="79"/>
    <n v="3"/>
    <n v="1"/>
    <x v="2"/>
    <n v="1"/>
    <s v="Married"/>
    <n v="2398"/>
    <n v="15999"/>
    <n v="1"/>
    <s v="Yes"/>
    <n v="17"/>
    <n v="3"/>
    <n v="3"/>
    <n v="0"/>
    <n v="1"/>
    <n v="6"/>
    <n v="3"/>
    <n v="1"/>
    <n v="0"/>
    <n v="0"/>
    <n v="0"/>
    <x v="3"/>
    <n v="21582"/>
    <x v="2"/>
    <n v="21582"/>
  </r>
  <r>
    <n v="31"/>
    <x v="1"/>
    <s v="Travel_Rarely"/>
    <n v="196"/>
    <x v="0"/>
    <n v="29"/>
    <n v="4"/>
    <s v="Marketing"/>
    <n v="1784"/>
    <n v="1"/>
    <s v="Female"/>
    <n v="91"/>
    <n v="2"/>
    <n v="2"/>
    <x v="0"/>
    <n v="4"/>
    <s v="Married"/>
    <n v="5468"/>
    <n v="13402"/>
    <n v="1"/>
    <s v="No"/>
    <n v="14"/>
    <n v="3"/>
    <n v="1"/>
    <n v="2"/>
    <n v="13"/>
    <n v="3"/>
    <n v="3"/>
    <n v="12"/>
    <n v="7"/>
    <n v="5"/>
    <n v="7"/>
    <x v="1"/>
    <n v="49212"/>
    <x v="1"/>
    <n v="0"/>
  </r>
  <r>
    <n v="51"/>
    <x v="1"/>
    <s v="Travel_Rarely"/>
    <n v="942"/>
    <x v="1"/>
    <n v="3"/>
    <n v="3"/>
    <s v="Technical Degree"/>
    <n v="1786"/>
    <n v="1"/>
    <s v="Female"/>
    <n v="53"/>
    <n v="3"/>
    <n v="3"/>
    <x v="5"/>
    <n v="3"/>
    <s v="Married"/>
    <n v="13116"/>
    <n v="22984"/>
    <n v="2"/>
    <s v="No"/>
    <n v="11"/>
    <n v="3"/>
    <n v="4"/>
    <n v="0"/>
    <n v="15"/>
    <n v="2"/>
    <n v="3"/>
    <n v="2"/>
    <n v="2"/>
    <n v="2"/>
    <n v="2"/>
    <x v="3"/>
    <n v="118044"/>
    <x v="1"/>
    <n v="0"/>
  </r>
  <r>
    <n v="37"/>
    <x v="1"/>
    <s v="Travel_Rarely"/>
    <n v="589"/>
    <x v="0"/>
    <n v="9"/>
    <n v="2"/>
    <s v="Marketing"/>
    <n v="1787"/>
    <n v="2"/>
    <s v="Male"/>
    <n v="46"/>
    <n v="2"/>
    <n v="2"/>
    <x v="0"/>
    <n v="2"/>
    <s v="Married"/>
    <n v="4189"/>
    <n v="8800"/>
    <n v="1"/>
    <s v="No"/>
    <n v="14"/>
    <n v="3"/>
    <n v="1"/>
    <n v="2"/>
    <n v="5"/>
    <n v="2"/>
    <n v="3"/>
    <n v="5"/>
    <n v="2"/>
    <n v="0"/>
    <n v="3"/>
    <x v="0"/>
    <n v="37701"/>
    <x v="0"/>
    <n v="0"/>
  </r>
  <r>
    <n v="46"/>
    <x v="1"/>
    <s v="Travel_Rarely"/>
    <n v="734"/>
    <x v="1"/>
    <n v="2"/>
    <n v="4"/>
    <s v="Medical"/>
    <n v="1789"/>
    <n v="3"/>
    <s v="Male"/>
    <n v="46"/>
    <n v="3"/>
    <n v="5"/>
    <x v="7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  <x v="3"/>
    <n v="173952"/>
    <x v="0"/>
    <n v="0"/>
  </r>
  <r>
    <n v="36"/>
    <x v="1"/>
    <s v="Travel_Rarely"/>
    <n v="1383"/>
    <x v="1"/>
    <n v="10"/>
    <n v="3"/>
    <s v="Life Sciences"/>
    <n v="1790"/>
    <n v="4"/>
    <s v="Male"/>
    <n v="90"/>
    <n v="3"/>
    <n v="3"/>
    <x v="4"/>
    <n v="1"/>
    <s v="Married"/>
    <n v="8321"/>
    <n v="25949"/>
    <n v="7"/>
    <s v="Yes"/>
    <n v="13"/>
    <n v="3"/>
    <n v="4"/>
    <n v="1"/>
    <n v="15"/>
    <n v="1"/>
    <n v="3"/>
    <n v="12"/>
    <n v="8"/>
    <n v="5"/>
    <n v="7"/>
    <x v="1"/>
    <n v="74889"/>
    <x v="0"/>
    <n v="0"/>
  </r>
  <r>
    <n v="44"/>
    <x v="0"/>
    <s v="Travel_Frequently"/>
    <n v="429"/>
    <x v="1"/>
    <n v="1"/>
    <n v="2"/>
    <s v="Medical"/>
    <n v="1792"/>
    <n v="3"/>
    <s v="Male"/>
    <n v="99"/>
    <n v="3"/>
    <n v="1"/>
    <x v="1"/>
    <n v="2"/>
    <s v="Divorced"/>
    <n v="2342"/>
    <n v="11092"/>
    <n v="1"/>
    <s v="Yes"/>
    <n v="12"/>
    <n v="3"/>
    <n v="3"/>
    <n v="3"/>
    <n v="6"/>
    <n v="2"/>
    <n v="2"/>
    <n v="5"/>
    <n v="3"/>
    <n v="2"/>
    <n v="3"/>
    <x v="0"/>
    <n v="21078"/>
    <x v="0"/>
    <n v="21078"/>
  </r>
  <r>
    <n v="37"/>
    <x v="1"/>
    <s v="Travel_Rarely"/>
    <n v="1239"/>
    <x v="2"/>
    <n v="8"/>
    <n v="2"/>
    <s v="Other"/>
    <n v="1794"/>
    <n v="3"/>
    <s v="Male"/>
    <n v="89"/>
    <n v="3"/>
    <n v="2"/>
    <x v="8"/>
    <n v="2"/>
    <s v="Divorced"/>
    <n v="4071"/>
    <n v="12832"/>
    <n v="2"/>
    <s v="No"/>
    <n v="13"/>
    <n v="3"/>
    <n v="3"/>
    <n v="0"/>
    <n v="19"/>
    <n v="4"/>
    <n v="2"/>
    <n v="10"/>
    <n v="0"/>
    <n v="4"/>
    <n v="7"/>
    <x v="1"/>
    <n v="36639"/>
    <x v="0"/>
    <n v="0"/>
  </r>
  <r>
    <n v="35"/>
    <x v="0"/>
    <s v="Travel_Rarely"/>
    <n v="303"/>
    <x v="0"/>
    <n v="27"/>
    <n v="3"/>
    <s v="Life Sciences"/>
    <n v="1797"/>
    <n v="3"/>
    <s v="Male"/>
    <n v="84"/>
    <n v="3"/>
    <n v="2"/>
    <x v="0"/>
    <n v="4"/>
    <s v="Single"/>
    <n v="5813"/>
    <n v="13492"/>
    <n v="1"/>
    <s v="Yes"/>
    <n v="18"/>
    <n v="3"/>
    <n v="4"/>
    <n v="0"/>
    <n v="10"/>
    <n v="2"/>
    <n v="3"/>
    <n v="10"/>
    <n v="7"/>
    <n v="7"/>
    <n v="7"/>
    <x v="1"/>
    <n v="52317"/>
    <x v="0"/>
    <n v="52317"/>
  </r>
  <r>
    <n v="33"/>
    <x v="1"/>
    <s v="Travel_Rarely"/>
    <n v="867"/>
    <x v="1"/>
    <n v="8"/>
    <n v="4"/>
    <s v="Life Sciences"/>
    <n v="1798"/>
    <n v="4"/>
    <s v="Male"/>
    <n v="90"/>
    <n v="4"/>
    <n v="1"/>
    <x v="1"/>
    <n v="1"/>
    <s v="Married"/>
    <n v="3143"/>
    <n v="6076"/>
    <n v="6"/>
    <s v="No"/>
    <n v="19"/>
    <n v="3"/>
    <n v="2"/>
    <n v="1"/>
    <n v="14"/>
    <n v="1"/>
    <n v="3"/>
    <n v="10"/>
    <n v="8"/>
    <n v="7"/>
    <n v="6"/>
    <x v="1"/>
    <n v="28287"/>
    <x v="0"/>
    <n v="0"/>
  </r>
  <r>
    <n v="28"/>
    <x v="1"/>
    <s v="Travel_Rarely"/>
    <n v="1181"/>
    <x v="1"/>
    <n v="1"/>
    <n v="3"/>
    <s v="Life Sciences"/>
    <n v="1799"/>
    <n v="3"/>
    <s v="Male"/>
    <n v="82"/>
    <n v="3"/>
    <n v="1"/>
    <x v="1"/>
    <n v="4"/>
    <s v="Married"/>
    <n v="2044"/>
    <n v="5531"/>
    <n v="1"/>
    <s v="No"/>
    <n v="11"/>
    <n v="3"/>
    <n v="3"/>
    <n v="1"/>
    <n v="5"/>
    <n v="6"/>
    <n v="4"/>
    <n v="5"/>
    <n v="3"/>
    <n v="0"/>
    <n v="3"/>
    <x v="0"/>
    <n v="18396"/>
    <x v="1"/>
    <n v="0"/>
  </r>
  <r>
    <n v="39"/>
    <x v="1"/>
    <s v="Travel_Rarely"/>
    <n v="1253"/>
    <x v="1"/>
    <n v="10"/>
    <n v="1"/>
    <s v="Medical"/>
    <n v="1800"/>
    <n v="3"/>
    <s v="Male"/>
    <n v="65"/>
    <n v="3"/>
    <n v="3"/>
    <x v="7"/>
    <n v="3"/>
    <s v="Single"/>
    <n v="13464"/>
    <n v="7914"/>
    <n v="7"/>
    <s v="No"/>
    <n v="21"/>
    <n v="4"/>
    <n v="3"/>
    <n v="0"/>
    <n v="9"/>
    <n v="3"/>
    <n v="3"/>
    <n v="4"/>
    <n v="3"/>
    <n v="2"/>
    <n v="2"/>
    <x v="0"/>
    <n v="121176"/>
    <x v="1"/>
    <n v="0"/>
  </r>
  <r>
    <n v="46"/>
    <x v="1"/>
    <s v="Non-Travel"/>
    <n v="849"/>
    <x v="0"/>
    <n v="26"/>
    <n v="2"/>
    <s v="Life Sciences"/>
    <n v="1801"/>
    <n v="2"/>
    <s v="Male"/>
    <n v="98"/>
    <n v="2"/>
    <n v="2"/>
    <x v="0"/>
    <n v="2"/>
    <s v="Single"/>
    <n v="7991"/>
    <n v="25166"/>
    <n v="8"/>
    <s v="No"/>
    <n v="15"/>
    <n v="3"/>
    <n v="3"/>
    <n v="0"/>
    <n v="6"/>
    <n v="3"/>
    <n v="3"/>
    <n v="2"/>
    <n v="2"/>
    <n v="2"/>
    <n v="2"/>
    <x v="3"/>
    <n v="71919"/>
    <x v="0"/>
    <n v="0"/>
  </r>
  <r>
    <n v="40"/>
    <x v="1"/>
    <s v="Travel_Rarely"/>
    <n v="616"/>
    <x v="1"/>
    <n v="2"/>
    <n v="2"/>
    <s v="Life Sciences"/>
    <n v="1802"/>
    <n v="3"/>
    <s v="Female"/>
    <n v="99"/>
    <n v="3"/>
    <n v="1"/>
    <x v="2"/>
    <n v="1"/>
    <s v="Married"/>
    <n v="3377"/>
    <n v="25605"/>
    <n v="4"/>
    <s v="No"/>
    <n v="17"/>
    <n v="3"/>
    <n v="4"/>
    <n v="1"/>
    <n v="7"/>
    <n v="5"/>
    <n v="2"/>
    <n v="4"/>
    <n v="3"/>
    <n v="0"/>
    <n v="2"/>
    <x v="0"/>
    <n v="30393"/>
    <x v="0"/>
    <n v="0"/>
  </r>
  <r>
    <n v="42"/>
    <x v="1"/>
    <s v="Travel_Rarely"/>
    <n v="1128"/>
    <x v="1"/>
    <n v="13"/>
    <n v="3"/>
    <s v="Medical"/>
    <n v="1803"/>
    <n v="2"/>
    <s v="Male"/>
    <n v="95"/>
    <n v="4"/>
    <n v="2"/>
    <x v="4"/>
    <n v="1"/>
    <s v="Married"/>
    <n v="5538"/>
    <n v="5696"/>
    <n v="5"/>
    <s v="No"/>
    <n v="18"/>
    <n v="3"/>
    <n v="3"/>
    <n v="2"/>
    <n v="10"/>
    <n v="2"/>
    <n v="2"/>
    <n v="0"/>
    <n v="0"/>
    <n v="0"/>
    <n v="0"/>
    <x v="2"/>
    <n v="49842"/>
    <x v="0"/>
    <n v="0"/>
  </r>
  <r>
    <n v="35"/>
    <x v="1"/>
    <s v="Non-Travel"/>
    <n v="1180"/>
    <x v="1"/>
    <n v="2"/>
    <n v="2"/>
    <s v="Medical"/>
    <n v="1804"/>
    <n v="2"/>
    <s v="Male"/>
    <n v="90"/>
    <n v="3"/>
    <n v="2"/>
    <x v="3"/>
    <n v="4"/>
    <s v="Divorced"/>
    <n v="5762"/>
    <n v="24442"/>
    <n v="2"/>
    <s v="No"/>
    <n v="14"/>
    <n v="3"/>
    <n v="3"/>
    <n v="1"/>
    <n v="15"/>
    <n v="6"/>
    <n v="3"/>
    <n v="7"/>
    <n v="7"/>
    <n v="1"/>
    <n v="7"/>
    <x v="1"/>
    <n v="51858"/>
    <x v="1"/>
    <n v="0"/>
  </r>
  <r>
    <n v="38"/>
    <x v="1"/>
    <s v="Non-Travel"/>
    <n v="1336"/>
    <x v="2"/>
    <n v="2"/>
    <n v="3"/>
    <s v="Human Resources"/>
    <n v="1805"/>
    <n v="1"/>
    <s v="Male"/>
    <n v="100"/>
    <n v="3"/>
    <n v="1"/>
    <x v="8"/>
    <n v="2"/>
    <s v="Divorced"/>
    <n v="2592"/>
    <n v="7129"/>
    <n v="5"/>
    <s v="No"/>
    <n v="13"/>
    <n v="3"/>
    <n v="4"/>
    <n v="3"/>
    <n v="13"/>
    <n v="3"/>
    <n v="3"/>
    <n v="11"/>
    <n v="10"/>
    <n v="3"/>
    <n v="8"/>
    <x v="1"/>
    <n v="23328"/>
    <x v="0"/>
    <n v="0"/>
  </r>
  <r>
    <n v="34"/>
    <x v="0"/>
    <s v="Travel_Frequently"/>
    <n v="234"/>
    <x v="1"/>
    <n v="9"/>
    <n v="4"/>
    <s v="Life Sciences"/>
    <n v="1807"/>
    <n v="4"/>
    <s v="Male"/>
    <n v="93"/>
    <n v="3"/>
    <n v="2"/>
    <x v="2"/>
    <n v="1"/>
    <s v="Married"/>
    <n v="5346"/>
    <n v="6208"/>
    <n v="4"/>
    <s v="No"/>
    <n v="17"/>
    <n v="3"/>
    <n v="3"/>
    <n v="1"/>
    <n v="11"/>
    <n v="3"/>
    <n v="2"/>
    <n v="7"/>
    <n v="1"/>
    <n v="0"/>
    <n v="7"/>
    <x v="1"/>
    <n v="48114"/>
    <x v="0"/>
    <n v="48114"/>
  </r>
  <r>
    <n v="37"/>
    <x v="0"/>
    <s v="Travel_Rarely"/>
    <n v="370"/>
    <x v="1"/>
    <n v="10"/>
    <n v="4"/>
    <s v="Medical"/>
    <n v="1809"/>
    <n v="4"/>
    <s v="Male"/>
    <n v="58"/>
    <n v="3"/>
    <n v="2"/>
    <x v="3"/>
    <n v="1"/>
    <s v="Single"/>
    <n v="4213"/>
    <n v="4992"/>
    <n v="1"/>
    <s v="No"/>
    <n v="15"/>
    <n v="3"/>
    <n v="2"/>
    <n v="0"/>
    <n v="10"/>
    <n v="4"/>
    <n v="1"/>
    <n v="10"/>
    <n v="3"/>
    <n v="0"/>
    <n v="8"/>
    <x v="1"/>
    <n v="37917"/>
    <x v="0"/>
    <n v="37917"/>
  </r>
  <r>
    <n v="39"/>
    <x v="1"/>
    <s v="Travel_Frequently"/>
    <n v="766"/>
    <x v="0"/>
    <n v="20"/>
    <n v="3"/>
    <s v="Life Sciences"/>
    <n v="1812"/>
    <n v="3"/>
    <s v="Male"/>
    <n v="83"/>
    <n v="3"/>
    <n v="2"/>
    <x v="0"/>
    <n v="4"/>
    <s v="Divorced"/>
    <n v="4127"/>
    <n v="19188"/>
    <n v="2"/>
    <s v="No"/>
    <n v="18"/>
    <n v="3"/>
    <n v="4"/>
    <n v="1"/>
    <n v="7"/>
    <n v="6"/>
    <n v="3"/>
    <n v="2"/>
    <n v="1"/>
    <n v="2"/>
    <n v="2"/>
    <x v="3"/>
    <n v="37143"/>
    <x v="1"/>
    <n v="0"/>
  </r>
  <r>
    <n v="43"/>
    <x v="1"/>
    <s v="Non-Travel"/>
    <n v="343"/>
    <x v="1"/>
    <n v="9"/>
    <n v="3"/>
    <s v="Life Sciences"/>
    <n v="1813"/>
    <n v="1"/>
    <s v="Male"/>
    <n v="52"/>
    <n v="3"/>
    <n v="1"/>
    <x v="1"/>
    <n v="3"/>
    <s v="Single"/>
    <n v="2438"/>
    <n v="24978"/>
    <n v="4"/>
    <s v="No"/>
    <n v="13"/>
    <n v="3"/>
    <n v="3"/>
    <n v="0"/>
    <n v="7"/>
    <n v="2"/>
    <n v="2"/>
    <n v="3"/>
    <n v="2"/>
    <n v="1"/>
    <n v="2"/>
    <x v="3"/>
    <n v="21942"/>
    <x v="1"/>
    <n v="0"/>
  </r>
  <r>
    <n v="41"/>
    <x v="1"/>
    <s v="Travel_Rarely"/>
    <n v="447"/>
    <x v="1"/>
    <n v="5"/>
    <n v="3"/>
    <s v="Life Sciences"/>
    <n v="1814"/>
    <n v="2"/>
    <s v="Male"/>
    <n v="85"/>
    <n v="4"/>
    <n v="2"/>
    <x v="4"/>
    <n v="2"/>
    <s v="Single"/>
    <n v="6870"/>
    <n v="15530"/>
    <n v="3"/>
    <s v="No"/>
    <n v="12"/>
    <n v="3"/>
    <n v="1"/>
    <n v="0"/>
    <n v="11"/>
    <n v="3"/>
    <n v="1"/>
    <n v="3"/>
    <n v="2"/>
    <n v="1"/>
    <n v="2"/>
    <x v="3"/>
    <n v="61830"/>
    <x v="0"/>
    <n v="0"/>
  </r>
  <r>
    <n v="41"/>
    <x v="1"/>
    <s v="Travel_Rarely"/>
    <n v="796"/>
    <x v="0"/>
    <n v="4"/>
    <n v="1"/>
    <s v="Marketing"/>
    <n v="1815"/>
    <n v="3"/>
    <s v="Female"/>
    <n v="81"/>
    <n v="3"/>
    <n v="3"/>
    <x v="0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  <x v="1"/>
    <n v="94023"/>
    <x v="0"/>
    <n v="0"/>
  </r>
  <r>
    <n v="30"/>
    <x v="1"/>
    <s v="Travel_Rarely"/>
    <n v="1092"/>
    <x v="1"/>
    <n v="10"/>
    <n v="3"/>
    <s v="Medical"/>
    <n v="1816"/>
    <n v="1"/>
    <s v="Female"/>
    <n v="64"/>
    <n v="3"/>
    <n v="3"/>
    <x v="3"/>
    <n v="3"/>
    <s v="Single"/>
    <n v="9667"/>
    <n v="2739"/>
    <n v="9"/>
    <s v="No"/>
    <n v="14"/>
    <n v="3"/>
    <n v="2"/>
    <n v="0"/>
    <n v="9"/>
    <n v="3"/>
    <n v="3"/>
    <n v="7"/>
    <n v="7"/>
    <n v="0"/>
    <n v="2"/>
    <x v="1"/>
    <n v="87003"/>
    <x v="1"/>
    <n v="0"/>
  </r>
  <r>
    <n v="26"/>
    <x v="0"/>
    <s v="Travel_Rarely"/>
    <n v="920"/>
    <x v="2"/>
    <n v="20"/>
    <n v="2"/>
    <s v="Medical"/>
    <n v="1818"/>
    <n v="4"/>
    <s v="Female"/>
    <n v="69"/>
    <n v="3"/>
    <n v="1"/>
    <x v="8"/>
    <n v="2"/>
    <s v="Married"/>
    <n v="2148"/>
    <n v="6889"/>
    <n v="0"/>
    <s v="Yes"/>
    <n v="11"/>
    <n v="3"/>
    <n v="3"/>
    <n v="0"/>
    <n v="6"/>
    <n v="3"/>
    <n v="3"/>
    <n v="5"/>
    <n v="1"/>
    <n v="1"/>
    <n v="4"/>
    <x v="0"/>
    <n v="19332"/>
    <x v="0"/>
    <n v="19332"/>
  </r>
  <r>
    <n v="46"/>
    <x v="0"/>
    <s v="Travel_Rarely"/>
    <n v="261"/>
    <x v="1"/>
    <n v="21"/>
    <n v="2"/>
    <s v="Medical"/>
    <n v="1821"/>
    <n v="4"/>
    <s v="Female"/>
    <n v="66"/>
    <n v="3"/>
    <n v="2"/>
    <x v="4"/>
    <n v="2"/>
    <s v="Married"/>
    <n v="8926"/>
    <n v="10842"/>
    <n v="4"/>
    <s v="No"/>
    <n v="22"/>
    <n v="4"/>
    <n v="4"/>
    <n v="1"/>
    <n v="13"/>
    <n v="2"/>
    <n v="4"/>
    <n v="9"/>
    <n v="7"/>
    <n v="3"/>
    <n v="7"/>
    <x v="1"/>
    <n v="80334"/>
    <x v="0"/>
    <n v="80334"/>
  </r>
  <r>
    <n v="40"/>
    <x v="1"/>
    <s v="Travel_Rarely"/>
    <n v="1194"/>
    <x v="1"/>
    <n v="1"/>
    <n v="3"/>
    <s v="Life Sciences"/>
    <n v="1822"/>
    <n v="3"/>
    <s v="Female"/>
    <n v="52"/>
    <n v="3"/>
    <n v="2"/>
    <x v="4"/>
    <n v="4"/>
    <s v="Divorced"/>
    <n v="6513"/>
    <n v="9060"/>
    <n v="4"/>
    <s v="No"/>
    <n v="17"/>
    <n v="3"/>
    <n v="4"/>
    <n v="1"/>
    <n v="12"/>
    <n v="3"/>
    <n v="3"/>
    <n v="5"/>
    <n v="3"/>
    <n v="0"/>
    <n v="3"/>
    <x v="0"/>
    <n v="58617"/>
    <x v="1"/>
    <n v="0"/>
  </r>
  <r>
    <n v="34"/>
    <x v="1"/>
    <s v="Travel_Rarely"/>
    <n v="810"/>
    <x v="0"/>
    <n v="8"/>
    <n v="2"/>
    <s v="Technical Degree"/>
    <n v="1823"/>
    <n v="2"/>
    <s v="Male"/>
    <n v="92"/>
    <n v="4"/>
    <n v="2"/>
    <x v="0"/>
    <n v="3"/>
    <s v="Married"/>
    <n v="6799"/>
    <n v="22128"/>
    <n v="1"/>
    <s v="No"/>
    <n v="21"/>
    <n v="4"/>
    <n v="3"/>
    <n v="2"/>
    <n v="10"/>
    <n v="5"/>
    <n v="3"/>
    <n v="10"/>
    <n v="8"/>
    <n v="4"/>
    <n v="8"/>
    <x v="1"/>
    <n v="61191"/>
    <x v="1"/>
    <n v="0"/>
  </r>
  <r>
    <n v="58"/>
    <x v="1"/>
    <s v="Non-Travel"/>
    <n v="350"/>
    <x v="0"/>
    <n v="2"/>
    <n v="3"/>
    <s v="Medical"/>
    <n v="1824"/>
    <n v="2"/>
    <s v="Male"/>
    <n v="52"/>
    <n v="3"/>
    <n v="4"/>
    <x v="5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  <x v="1"/>
    <n v="146619"/>
    <x v="0"/>
    <n v="0"/>
  </r>
  <r>
    <n v="35"/>
    <x v="1"/>
    <s v="Travel_Rarely"/>
    <n v="185"/>
    <x v="1"/>
    <n v="23"/>
    <n v="4"/>
    <s v="Medical"/>
    <n v="1826"/>
    <n v="2"/>
    <s v="Male"/>
    <n v="91"/>
    <n v="1"/>
    <n v="1"/>
    <x v="2"/>
    <n v="3"/>
    <s v="Married"/>
    <n v="2705"/>
    <n v="9696"/>
    <n v="0"/>
    <s v="No"/>
    <n v="16"/>
    <n v="3"/>
    <n v="2"/>
    <n v="1"/>
    <n v="6"/>
    <n v="2"/>
    <n v="4"/>
    <n v="5"/>
    <n v="4"/>
    <n v="0"/>
    <n v="3"/>
    <x v="0"/>
    <n v="24345"/>
    <x v="1"/>
    <n v="0"/>
  </r>
  <r>
    <n v="47"/>
    <x v="1"/>
    <s v="Travel_Rarely"/>
    <n v="1001"/>
    <x v="1"/>
    <n v="4"/>
    <n v="3"/>
    <s v="Life Sciences"/>
    <n v="1827"/>
    <n v="3"/>
    <s v="Female"/>
    <n v="92"/>
    <n v="2"/>
    <n v="3"/>
    <x v="3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  <x v="1"/>
    <n v="92997"/>
    <x v="0"/>
    <n v="0"/>
  </r>
  <r>
    <n v="40"/>
    <x v="1"/>
    <s v="Travel_Rarely"/>
    <n v="750"/>
    <x v="1"/>
    <n v="12"/>
    <n v="3"/>
    <s v="Life Sciences"/>
    <n v="1829"/>
    <n v="2"/>
    <s v="Female"/>
    <n v="47"/>
    <n v="3"/>
    <n v="2"/>
    <x v="4"/>
    <n v="1"/>
    <s v="Divorced"/>
    <n v="4448"/>
    <n v="10748"/>
    <n v="2"/>
    <s v="No"/>
    <n v="12"/>
    <n v="3"/>
    <n v="2"/>
    <n v="1"/>
    <n v="15"/>
    <n v="3"/>
    <n v="3"/>
    <n v="7"/>
    <n v="4"/>
    <n v="7"/>
    <n v="7"/>
    <x v="1"/>
    <n v="40032"/>
    <x v="0"/>
    <n v="0"/>
  </r>
  <r>
    <n v="54"/>
    <x v="1"/>
    <s v="Travel_Rarely"/>
    <n v="431"/>
    <x v="1"/>
    <n v="7"/>
    <n v="4"/>
    <s v="Medical"/>
    <n v="1830"/>
    <n v="4"/>
    <s v="Female"/>
    <n v="68"/>
    <n v="3"/>
    <n v="2"/>
    <x v="1"/>
    <n v="4"/>
    <s v="Married"/>
    <n v="6854"/>
    <n v="15696"/>
    <n v="4"/>
    <s v="No"/>
    <n v="15"/>
    <n v="3"/>
    <n v="2"/>
    <n v="1"/>
    <n v="14"/>
    <n v="2"/>
    <n v="2"/>
    <n v="7"/>
    <n v="1"/>
    <n v="1"/>
    <n v="7"/>
    <x v="1"/>
    <n v="61686"/>
    <x v="1"/>
    <n v="0"/>
  </r>
  <r>
    <n v="31"/>
    <x v="1"/>
    <s v="Travel_Frequently"/>
    <n v="1125"/>
    <x v="0"/>
    <n v="7"/>
    <n v="4"/>
    <s v="Marketing"/>
    <n v="1833"/>
    <n v="1"/>
    <s v="Female"/>
    <n v="68"/>
    <n v="3"/>
    <n v="3"/>
    <x v="0"/>
    <n v="1"/>
    <s v="Married"/>
    <n v="9637"/>
    <n v="8277"/>
    <n v="2"/>
    <s v="No"/>
    <n v="14"/>
    <n v="3"/>
    <n v="4"/>
    <n v="2"/>
    <n v="9"/>
    <n v="3"/>
    <n v="3"/>
    <n v="3"/>
    <n v="2"/>
    <n v="2"/>
    <n v="2"/>
    <x v="3"/>
    <n v="86733"/>
    <x v="0"/>
    <n v="0"/>
  </r>
  <r>
    <n v="28"/>
    <x v="1"/>
    <s v="Travel_Rarely"/>
    <n v="1217"/>
    <x v="1"/>
    <n v="1"/>
    <n v="3"/>
    <s v="Medical"/>
    <n v="1834"/>
    <n v="3"/>
    <s v="Female"/>
    <n v="67"/>
    <n v="3"/>
    <n v="1"/>
    <x v="1"/>
    <n v="1"/>
    <s v="Married"/>
    <n v="3591"/>
    <n v="12719"/>
    <n v="1"/>
    <s v="No"/>
    <n v="25"/>
    <n v="4"/>
    <n v="3"/>
    <n v="1"/>
    <n v="3"/>
    <n v="3"/>
    <n v="3"/>
    <n v="3"/>
    <n v="2"/>
    <n v="1"/>
    <n v="2"/>
    <x v="3"/>
    <n v="32319"/>
    <x v="0"/>
    <n v="0"/>
  </r>
  <r>
    <n v="38"/>
    <x v="1"/>
    <s v="Travel_Rarely"/>
    <n v="723"/>
    <x v="0"/>
    <n v="2"/>
    <n v="4"/>
    <s v="Marketing"/>
    <n v="1835"/>
    <n v="2"/>
    <s v="Female"/>
    <n v="77"/>
    <n v="1"/>
    <n v="2"/>
    <x v="6"/>
    <n v="4"/>
    <s v="Married"/>
    <n v="5405"/>
    <n v="4244"/>
    <n v="2"/>
    <s v="Yes"/>
    <n v="20"/>
    <n v="4"/>
    <n v="1"/>
    <n v="2"/>
    <n v="20"/>
    <n v="4"/>
    <n v="2"/>
    <n v="4"/>
    <n v="2"/>
    <n v="0"/>
    <n v="3"/>
    <x v="0"/>
    <n v="48645"/>
    <x v="0"/>
    <n v="0"/>
  </r>
  <r>
    <n v="26"/>
    <x v="1"/>
    <s v="Travel_Rarely"/>
    <n v="572"/>
    <x v="0"/>
    <n v="10"/>
    <n v="3"/>
    <s v="Medical"/>
    <n v="1836"/>
    <n v="3"/>
    <s v="Male"/>
    <n v="46"/>
    <n v="3"/>
    <n v="2"/>
    <x v="0"/>
    <n v="4"/>
    <s v="Single"/>
    <n v="4684"/>
    <n v="9125"/>
    <n v="1"/>
    <s v="No"/>
    <n v="13"/>
    <n v="3"/>
    <n v="1"/>
    <n v="0"/>
    <n v="5"/>
    <n v="4"/>
    <n v="3"/>
    <n v="5"/>
    <n v="3"/>
    <n v="1"/>
    <n v="2"/>
    <x v="0"/>
    <n v="42156"/>
    <x v="1"/>
    <n v="0"/>
  </r>
  <r>
    <n v="58"/>
    <x v="1"/>
    <s v="Travel_Frequently"/>
    <n v="1216"/>
    <x v="1"/>
    <n v="15"/>
    <n v="4"/>
    <s v="Life Sciences"/>
    <n v="1837"/>
    <n v="1"/>
    <s v="Male"/>
    <n v="87"/>
    <n v="3"/>
    <n v="4"/>
    <x v="7"/>
    <n v="3"/>
    <s v="Married"/>
    <n v="15787"/>
    <n v="21624"/>
    <n v="2"/>
    <s v="Yes"/>
    <n v="14"/>
    <n v="3"/>
    <n v="2"/>
    <n v="0"/>
    <n v="23"/>
    <n v="3"/>
    <n v="3"/>
    <n v="2"/>
    <n v="2"/>
    <n v="2"/>
    <n v="2"/>
    <x v="3"/>
    <n v="142083"/>
    <x v="0"/>
    <n v="0"/>
  </r>
  <r>
    <n v="18"/>
    <x v="1"/>
    <s v="Non-Travel"/>
    <n v="1431"/>
    <x v="1"/>
    <n v="14"/>
    <n v="3"/>
    <s v="Medical"/>
    <n v="1839"/>
    <n v="2"/>
    <s v="Female"/>
    <n v="33"/>
    <n v="3"/>
    <n v="1"/>
    <x v="1"/>
    <n v="3"/>
    <s v="Single"/>
    <n v="1514"/>
    <n v="8018"/>
    <n v="1"/>
    <s v="No"/>
    <n v="16"/>
    <n v="3"/>
    <n v="3"/>
    <n v="0"/>
    <n v="0"/>
    <n v="4"/>
    <n v="1"/>
    <n v="0"/>
    <n v="0"/>
    <n v="0"/>
    <n v="0"/>
    <x v="2"/>
    <n v="13626"/>
    <x v="1"/>
    <n v="0"/>
  </r>
  <r>
    <n v="31"/>
    <x v="0"/>
    <s v="Travel_Rarely"/>
    <n v="359"/>
    <x v="2"/>
    <n v="18"/>
    <n v="5"/>
    <s v="Human Resources"/>
    <n v="1842"/>
    <n v="4"/>
    <s v="Male"/>
    <n v="89"/>
    <n v="4"/>
    <n v="1"/>
    <x v="8"/>
    <n v="1"/>
    <s v="Married"/>
    <n v="2956"/>
    <n v="21495"/>
    <n v="0"/>
    <s v="No"/>
    <n v="17"/>
    <n v="3"/>
    <n v="3"/>
    <n v="0"/>
    <n v="2"/>
    <n v="4"/>
    <n v="3"/>
    <n v="1"/>
    <n v="0"/>
    <n v="0"/>
    <n v="0"/>
    <x v="3"/>
    <n v="26604"/>
    <x v="0"/>
    <n v="26604"/>
  </r>
  <r>
    <n v="29"/>
    <x v="0"/>
    <s v="Travel_Rarely"/>
    <n v="350"/>
    <x v="2"/>
    <n v="13"/>
    <n v="3"/>
    <s v="Human Resources"/>
    <n v="1844"/>
    <n v="1"/>
    <s v="Male"/>
    <n v="56"/>
    <n v="2"/>
    <n v="1"/>
    <x v="8"/>
    <n v="1"/>
    <s v="Divorced"/>
    <n v="2335"/>
    <n v="3157"/>
    <n v="4"/>
    <s v="Yes"/>
    <n v="15"/>
    <n v="3"/>
    <n v="4"/>
    <n v="3"/>
    <n v="4"/>
    <n v="3"/>
    <n v="3"/>
    <n v="2"/>
    <n v="2"/>
    <n v="2"/>
    <n v="0"/>
    <x v="3"/>
    <n v="21015"/>
    <x v="2"/>
    <n v="21015"/>
  </r>
  <r>
    <n v="45"/>
    <x v="1"/>
    <s v="Non-Travel"/>
    <n v="589"/>
    <x v="0"/>
    <n v="2"/>
    <n v="4"/>
    <s v="Life Sciences"/>
    <n v="1845"/>
    <n v="3"/>
    <s v="Female"/>
    <n v="67"/>
    <n v="3"/>
    <n v="2"/>
    <x v="0"/>
    <n v="3"/>
    <s v="Married"/>
    <n v="5154"/>
    <n v="19665"/>
    <n v="4"/>
    <s v="No"/>
    <n v="22"/>
    <n v="4"/>
    <n v="2"/>
    <n v="2"/>
    <n v="10"/>
    <n v="3"/>
    <n v="4"/>
    <n v="8"/>
    <n v="7"/>
    <n v="5"/>
    <n v="7"/>
    <x v="1"/>
    <n v="46386"/>
    <x v="1"/>
    <n v="0"/>
  </r>
  <r>
    <n v="36"/>
    <x v="1"/>
    <s v="Travel_Rarely"/>
    <n v="430"/>
    <x v="1"/>
    <n v="2"/>
    <n v="4"/>
    <s v="Other"/>
    <n v="1847"/>
    <n v="4"/>
    <s v="Female"/>
    <n v="73"/>
    <n v="3"/>
    <n v="2"/>
    <x v="1"/>
    <n v="2"/>
    <s v="Married"/>
    <n v="6962"/>
    <n v="19573"/>
    <n v="4"/>
    <s v="Yes"/>
    <n v="22"/>
    <n v="4"/>
    <n v="4"/>
    <n v="1"/>
    <n v="15"/>
    <n v="2"/>
    <n v="3"/>
    <n v="1"/>
    <n v="0"/>
    <n v="0"/>
    <n v="0"/>
    <x v="3"/>
    <n v="62658"/>
    <x v="2"/>
    <n v="0"/>
  </r>
  <r>
    <n v="43"/>
    <x v="1"/>
    <s v="Travel_Frequently"/>
    <n v="1422"/>
    <x v="0"/>
    <n v="2"/>
    <n v="4"/>
    <s v="Life Sciences"/>
    <n v="1849"/>
    <n v="1"/>
    <s v="Male"/>
    <n v="92"/>
    <n v="3"/>
    <n v="2"/>
    <x v="0"/>
    <n v="4"/>
    <s v="Married"/>
    <n v="5675"/>
    <n v="19246"/>
    <n v="1"/>
    <s v="No"/>
    <n v="20"/>
    <n v="4"/>
    <n v="3"/>
    <n v="1"/>
    <n v="7"/>
    <n v="5"/>
    <n v="3"/>
    <n v="7"/>
    <n v="7"/>
    <n v="7"/>
    <n v="7"/>
    <x v="1"/>
    <n v="51075"/>
    <x v="1"/>
    <n v="0"/>
  </r>
  <r>
    <n v="27"/>
    <x v="1"/>
    <s v="Travel_Frequently"/>
    <n v="1297"/>
    <x v="1"/>
    <n v="5"/>
    <n v="2"/>
    <s v="Life Sciences"/>
    <n v="1850"/>
    <n v="4"/>
    <s v="Female"/>
    <n v="53"/>
    <n v="3"/>
    <n v="1"/>
    <x v="2"/>
    <n v="4"/>
    <s v="Single"/>
    <n v="2379"/>
    <n v="19826"/>
    <n v="0"/>
    <s v="Yes"/>
    <n v="14"/>
    <n v="3"/>
    <n v="3"/>
    <n v="0"/>
    <n v="6"/>
    <n v="3"/>
    <n v="2"/>
    <n v="5"/>
    <n v="4"/>
    <n v="0"/>
    <n v="2"/>
    <x v="0"/>
    <n v="21411"/>
    <x v="0"/>
    <n v="0"/>
  </r>
  <r>
    <n v="29"/>
    <x v="1"/>
    <s v="Travel_Frequently"/>
    <n v="574"/>
    <x v="1"/>
    <n v="20"/>
    <n v="1"/>
    <s v="Medical"/>
    <n v="1852"/>
    <n v="4"/>
    <s v="Male"/>
    <n v="40"/>
    <n v="3"/>
    <n v="1"/>
    <x v="2"/>
    <n v="4"/>
    <s v="Married"/>
    <n v="3812"/>
    <n v="7003"/>
    <n v="1"/>
    <s v="No"/>
    <n v="13"/>
    <n v="3"/>
    <n v="2"/>
    <n v="0"/>
    <n v="11"/>
    <n v="3"/>
    <n v="4"/>
    <n v="11"/>
    <n v="8"/>
    <n v="3"/>
    <n v="10"/>
    <x v="1"/>
    <n v="34308"/>
    <x v="1"/>
    <n v="0"/>
  </r>
  <r>
    <n v="32"/>
    <x v="1"/>
    <s v="Travel_Frequently"/>
    <n v="1318"/>
    <x v="0"/>
    <n v="10"/>
    <n v="4"/>
    <s v="Marketing"/>
    <n v="1853"/>
    <n v="4"/>
    <s v="Male"/>
    <n v="79"/>
    <n v="3"/>
    <n v="2"/>
    <x v="0"/>
    <n v="4"/>
    <s v="Single"/>
    <n v="4648"/>
    <n v="26075"/>
    <n v="8"/>
    <s v="No"/>
    <n v="13"/>
    <n v="3"/>
    <n v="3"/>
    <n v="0"/>
    <n v="4"/>
    <n v="2"/>
    <n v="4"/>
    <n v="0"/>
    <n v="0"/>
    <n v="0"/>
    <n v="0"/>
    <x v="2"/>
    <n v="41832"/>
    <x v="1"/>
    <n v="0"/>
  </r>
  <r>
    <n v="42"/>
    <x v="1"/>
    <s v="Non-Travel"/>
    <n v="355"/>
    <x v="1"/>
    <n v="10"/>
    <n v="4"/>
    <s v="Technical Degree"/>
    <n v="1854"/>
    <n v="3"/>
    <s v="Male"/>
    <n v="38"/>
    <n v="3"/>
    <n v="1"/>
    <x v="1"/>
    <n v="3"/>
    <s v="Married"/>
    <n v="2936"/>
    <n v="6161"/>
    <n v="3"/>
    <s v="No"/>
    <n v="22"/>
    <n v="4"/>
    <n v="2"/>
    <n v="2"/>
    <n v="10"/>
    <n v="1"/>
    <n v="2"/>
    <n v="6"/>
    <n v="3"/>
    <n v="3"/>
    <n v="3"/>
    <x v="0"/>
    <n v="26424"/>
    <x v="1"/>
    <n v="0"/>
  </r>
  <r>
    <n v="47"/>
    <x v="1"/>
    <s v="Travel_Rarely"/>
    <n v="207"/>
    <x v="1"/>
    <n v="9"/>
    <n v="4"/>
    <s v="Life Sciences"/>
    <n v="1856"/>
    <n v="2"/>
    <s v="Female"/>
    <n v="64"/>
    <n v="3"/>
    <n v="1"/>
    <x v="2"/>
    <n v="3"/>
    <s v="Single"/>
    <n v="2105"/>
    <n v="5411"/>
    <n v="4"/>
    <s v="No"/>
    <n v="12"/>
    <n v="3"/>
    <n v="3"/>
    <n v="0"/>
    <n v="7"/>
    <n v="2"/>
    <n v="3"/>
    <n v="2"/>
    <n v="2"/>
    <n v="2"/>
    <n v="0"/>
    <x v="3"/>
    <n v="18945"/>
    <x v="1"/>
    <n v="0"/>
  </r>
  <r>
    <n v="46"/>
    <x v="1"/>
    <s v="Travel_Rarely"/>
    <n v="706"/>
    <x v="1"/>
    <n v="2"/>
    <n v="2"/>
    <s v="Life Sciences"/>
    <n v="1857"/>
    <n v="4"/>
    <s v="Male"/>
    <n v="82"/>
    <n v="3"/>
    <n v="3"/>
    <x v="3"/>
    <n v="4"/>
    <s v="Divorced"/>
    <n v="8578"/>
    <n v="19989"/>
    <n v="3"/>
    <s v="No"/>
    <n v="14"/>
    <n v="3"/>
    <n v="3"/>
    <n v="1"/>
    <n v="12"/>
    <n v="4"/>
    <n v="2"/>
    <n v="9"/>
    <n v="8"/>
    <n v="4"/>
    <n v="7"/>
    <x v="1"/>
    <n v="77202"/>
    <x v="1"/>
    <n v="0"/>
  </r>
  <r>
    <n v="28"/>
    <x v="1"/>
    <s v="Non-Travel"/>
    <n v="280"/>
    <x v="2"/>
    <n v="1"/>
    <n v="2"/>
    <s v="Life Sciences"/>
    <n v="1858"/>
    <n v="3"/>
    <s v="Male"/>
    <n v="43"/>
    <n v="3"/>
    <n v="1"/>
    <x v="8"/>
    <n v="4"/>
    <s v="Divorced"/>
    <n v="2706"/>
    <n v="10494"/>
    <n v="1"/>
    <s v="No"/>
    <n v="15"/>
    <n v="3"/>
    <n v="2"/>
    <n v="1"/>
    <n v="3"/>
    <n v="2"/>
    <n v="3"/>
    <n v="3"/>
    <n v="2"/>
    <n v="2"/>
    <n v="2"/>
    <x v="3"/>
    <n v="24354"/>
    <x v="1"/>
    <n v="0"/>
  </r>
  <r>
    <n v="29"/>
    <x v="1"/>
    <s v="Travel_Rarely"/>
    <n v="726"/>
    <x v="1"/>
    <n v="29"/>
    <n v="1"/>
    <s v="Life Sciences"/>
    <n v="1859"/>
    <n v="4"/>
    <s v="Male"/>
    <n v="93"/>
    <n v="1"/>
    <n v="2"/>
    <x v="4"/>
    <n v="3"/>
    <s v="Divorced"/>
    <n v="6384"/>
    <n v="21143"/>
    <n v="8"/>
    <s v="No"/>
    <n v="17"/>
    <n v="3"/>
    <n v="4"/>
    <n v="2"/>
    <n v="11"/>
    <n v="3"/>
    <n v="3"/>
    <n v="7"/>
    <n v="0"/>
    <n v="1"/>
    <n v="6"/>
    <x v="1"/>
    <n v="57456"/>
    <x v="1"/>
    <n v="0"/>
  </r>
  <r>
    <n v="42"/>
    <x v="1"/>
    <s v="Travel_Rarely"/>
    <n v="1142"/>
    <x v="1"/>
    <n v="8"/>
    <n v="3"/>
    <s v="Life Sciences"/>
    <n v="1860"/>
    <n v="4"/>
    <s v="Male"/>
    <n v="81"/>
    <n v="3"/>
    <n v="1"/>
    <x v="2"/>
    <n v="3"/>
    <s v="Single"/>
    <n v="3968"/>
    <n v="13624"/>
    <n v="4"/>
    <s v="No"/>
    <n v="13"/>
    <n v="3"/>
    <n v="4"/>
    <n v="0"/>
    <n v="8"/>
    <n v="3"/>
    <n v="3"/>
    <n v="0"/>
    <n v="0"/>
    <n v="0"/>
    <n v="0"/>
    <x v="2"/>
    <n v="35712"/>
    <x v="1"/>
    <n v="0"/>
  </r>
  <r>
    <n v="32"/>
    <x v="0"/>
    <s v="Travel_Rarely"/>
    <n v="414"/>
    <x v="0"/>
    <n v="2"/>
    <n v="4"/>
    <s v="Marketing"/>
    <n v="1862"/>
    <n v="3"/>
    <s v="Male"/>
    <n v="82"/>
    <n v="2"/>
    <n v="2"/>
    <x v="0"/>
    <n v="2"/>
    <s v="Single"/>
    <n v="9907"/>
    <n v="26186"/>
    <n v="7"/>
    <s v="Yes"/>
    <n v="12"/>
    <n v="3"/>
    <n v="3"/>
    <n v="0"/>
    <n v="7"/>
    <n v="3"/>
    <n v="2"/>
    <n v="2"/>
    <n v="2"/>
    <n v="2"/>
    <n v="2"/>
    <x v="3"/>
    <n v="89163"/>
    <x v="2"/>
    <n v="89163"/>
  </r>
  <r>
    <n v="46"/>
    <x v="1"/>
    <s v="Travel_Rarely"/>
    <n v="1319"/>
    <x v="0"/>
    <n v="3"/>
    <n v="3"/>
    <s v="Technical Degree"/>
    <n v="1863"/>
    <n v="1"/>
    <s v="Female"/>
    <n v="45"/>
    <n v="4"/>
    <n v="4"/>
    <x v="0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  <x v="1"/>
    <n v="119025"/>
    <x v="0"/>
    <n v="0"/>
  </r>
  <r>
    <n v="27"/>
    <x v="1"/>
    <s v="Travel_Rarely"/>
    <n v="728"/>
    <x v="0"/>
    <n v="23"/>
    <n v="1"/>
    <s v="Medical"/>
    <n v="1864"/>
    <n v="2"/>
    <s v="Female"/>
    <n v="36"/>
    <n v="2"/>
    <n v="2"/>
    <x v="6"/>
    <n v="3"/>
    <s v="Married"/>
    <n v="3540"/>
    <n v="7018"/>
    <n v="1"/>
    <s v="No"/>
    <n v="21"/>
    <n v="4"/>
    <n v="4"/>
    <n v="1"/>
    <n v="9"/>
    <n v="5"/>
    <n v="3"/>
    <n v="9"/>
    <n v="8"/>
    <n v="5"/>
    <n v="8"/>
    <x v="1"/>
    <n v="31860"/>
    <x v="1"/>
    <n v="0"/>
  </r>
  <r>
    <n v="29"/>
    <x v="1"/>
    <s v="Travel_Rarely"/>
    <n v="352"/>
    <x v="2"/>
    <n v="6"/>
    <n v="1"/>
    <s v="Medical"/>
    <n v="1865"/>
    <n v="4"/>
    <s v="Male"/>
    <n v="87"/>
    <n v="2"/>
    <n v="1"/>
    <x v="8"/>
    <n v="2"/>
    <s v="Married"/>
    <n v="2804"/>
    <n v="15434"/>
    <n v="1"/>
    <s v="No"/>
    <n v="11"/>
    <n v="3"/>
    <n v="4"/>
    <n v="0"/>
    <n v="1"/>
    <n v="3"/>
    <n v="3"/>
    <n v="1"/>
    <n v="0"/>
    <n v="0"/>
    <n v="0"/>
    <x v="3"/>
    <n v="25236"/>
    <x v="0"/>
    <n v="0"/>
  </r>
  <r>
    <n v="43"/>
    <x v="1"/>
    <s v="Travel_Rarely"/>
    <n v="823"/>
    <x v="1"/>
    <n v="6"/>
    <n v="3"/>
    <s v="Medical"/>
    <n v="1866"/>
    <n v="1"/>
    <s v="Female"/>
    <n v="81"/>
    <n v="2"/>
    <n v="5"/>
    <x v="5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  <x v="1"/>
    <n v="174528"/>
    <x v="1"/>
    <n v="0"/>
  </r>
  <r>
    <n v="48"/>
    <x v="1"/>
    <s v="Travel_Rarely"/>
    <n v="1224"/>
    <x v="1"/>
    <n v="10"/>
    <n v="3"/>
    <s v="Life Sciences"/>
    <n v="1867"/>
    <n v="4"/>
    <s v="Male"/>
    <n v="91"/>
    <n v="2"/>
    <n v="5"/>
    <x v="7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  <x v="1"/>
    <n v="176985"/>
    <x v="0"/>
    <n v="0"/>
  </r>
  <r>
    <n v="29"/>
    <x v="0"/>
    <s v="Travel_Frequently"/>
    <n v="459"/>
    <x v="1"/>
    <n v="24"/>
    <n v="2"/>
    <s v="Life Sciences"/>
    <n v="1868"/>
    <n v="4"/>
    <s v="Male"/>
    <n v="73"/>
    <n v="2"/>
    <n v="1"/>
    <x v="1"/>
    <n v="4"/>
    <s v="Single"/>
    <n v="2439"/>
    <n v="14753"/>
    <n v="1"/>
    <s v="Yes"/>
    <n v="24"/>
    <n v="4"/>
    <n v="2"/>
    <n v="0"/>
    <n v="1"/>
    <n v="3"/>
    <n v="2"/>
    <n v="1"/>
    <n v="0"/>
    <n v="1"/>
    <n v="0"/>
    <x v="3"/>
    <n v="21951"/>
    <x v="0"/>
    <n v="21951"/>
  </r>
  <r>
    <n v="46"/>
    <x v="0"/>
    <s v="Travel_Rarely"/>
    <n v="1254"/>
    <x v="0"/>
    <n v="10"/>
    <n v="3"/>
    <s v="Life Sciences"/>
    <n v="1869"/>
    <n v="3"/>
    <s v="Female"/>
    <n v="64"/>
    <n v="3"/>
    <n v="3"/>
    <x v="0"/>
    <n v="2"/>
    <s v="Married"/>
    <n v="7314"/>
    <n v="14011"/>
    <n v="5"/>
    <s v="No"/>
    <n v="21"/>
    <n v="4"/>
    <n v="3"/>
    <n v="3"/>
    <n v="14"/>
    <n v="2"/>
    <n v="3"/>
    <n v="8"/>
    <n v="7"/>
    <n v="0"/>
    <n v="7"/>
    <x v="1"/>
    <n v="65826"/>
    <x v="0"/>
    <n v="65826"/>
  </r>
  <r>
    <n v="27"/>
    <x v="1"/>
    <s v="Travel_Frequently"/>
    <n v="1131"/>
    <x v="1"/>
    <n v="15"/>
    <n v="3"/>
    <s v="Life Sciences"/>
    <n v="1870"/>
    <n v="4"/>
    <s v="Female"/>
    <n v="77"/>
    <n v="2"/>
    <n v="1"/>
    <x v="1"/>
    <n v="1"/>
    <s v="Married"/>
    <n v="4774"/>
    <n v="23844"/>
    <n v="0"/>
    <s v="No"/>
    <n v="19"/>
    <n v="3"/>
    <n v="4"/>
    <n v="1"/>
    <n v="8"/>
    <n v="2"/>
    <n v="2"/>
    <n v="7"/>
    <n v="6"/>
    <n v="7"/>
    <n v="3"/>
    <x v="1"/>
    <n v="42966"/>
    <x v="0"/>
    <n v="0"/>
  </r>
  <r>
    <n v="39"/>
    <x v="1"/>
    <s v="Travel_Rarely"/>
    <n v="835"/>
    <x v="1"/>
    <n v="19"/>
    <n v="4"/>
    <s v="Other"/>
    <n v="1871"/>
    <n v="4"/>
    <s v="Male"/>
    <n v="41"/>
    <n v="3"/>
    <n v="2"/>
    <x v="1"/>
    <n v="4"/>
    <s v="Divorced"/>
    <n v="3902"/>
    <n v="5141"/>
    <n v="8"/>
    <s v="No"/>
    <n v="14"/>
    <n v="3"/>
    <n v="2"/>
    <n v="3"/>
    <n v="7"/>
    <n v="2"/>
    <n v="3"/>
    <n v="2"/>
    <n v="2"/>
    <n v="2"/>
    <n v="2"/>
    <x v="3"/>
    <n v="35118"/>
    <x v="1"/>
    <n v="0"/>
  </r>
  <r>
    <n v="55"/>
    <x v="1"/>
    <s v="Travel_Rarely"/>
    <n v="836"/>
    <x v="1"/>
    <n v="2"/>
    <n v="4"/>
    <s v="Technical Degree"/>
    <n v="1873"/>
    <n v="2"/>
    <s v="Male"/>
    <n v="98"/>
    <n v="2"/>
    <n v="1"/>
    <x v="1"/>
    <n v="4"/>
    <s v="Married"/>
    <n v="2662"/>
    <n v="7975"/>
    <n v="8"/>
    <s v="No"/>
    <n v="20"/>
    <n v="4"/>
    <n v="2"/>
    <n v="1"/>
    <n v="19"/>
    <n v="2"/>
    <n v="4"/>
    <n v="5"/>
    <n v="2"/>
    <n v="0"/>
    <n v="4"/>
    <x v="0"/>
    <n v="23958"/>
    <x v="1"/>
    <n v="0"/>
  </r>
  <r>
    <n v="28"/>
    <x v="1"/>
    <s v="Travel_Rarely"/>
    <n v="1172"/>
    <x v="0"/>
    <n v="3"/>
    <n v="3"/>
    <s v="Medical"/>
    <n v="1875"/>
    <n v="2"/>
    <s v="Female"/>
    <n v="78"/>
    <n v="3"/>
    <n v="1"/>
    <x v="6"/>
    <n v="2"/>
    <s v="Married"/>
    <n v="2856"/>
    <n v="3692"/>
    <n v="1"/>
    <s v="No"/>
    <n v="19"/>
    <n v="3"/>
    <n v="4"/>
    <n v="1"/>
    <n v="1"/>
    <n v="3"/>
    <n v="3"/>
    <n v="1"/>
    <n v="0"/>
    <n v="0"/>
    <n v="0"/>
    <x v="3"/>
    <n v="25704"/>
    <x v="0"/>
    <n v="0"/>
  </r>
  <r>
    <n v="30"/>
    <x v="0"/>
    <s v="Travel_Rarely"/>
    <n v="945"/>
    <x v="0"/>
    <n v="9"/>
    <n v="3"/>
    <s v="Medical"/>
    <n v="1876"/>
    <n v="2"/>
    <s v="Male"/>
    <n v="89"/>
    <n v="3"/>
    <n v="1"/>
    <x v="6"/>
    <n v="4"/>
    <s v="Single"/>
    <n v="1081"/>
    <n v="16019"/>
    <n v="1"/>
    <s v="No"/>
    <n v="13"/>
    <n v="3"/>
    <n v="3"/>
    <n v="0"/>
    <n v="1"/>
    <n v="3"/>
    <n v="2"/>
    <n v="1"/>
    <n v="0"/>
    <n v="0"/>
    <n v="0"/>
    <x v="3"/>
    <n v="9729"/>
    <x v="1"/>
    <n v="9729"/>
  </r>
  <r>
    <n v="22"/>
    <x v="0"/>
    <s v="Travel_Rarely"/>
    <n v="391"/>
    <x v="1"/>
    <n v="7"/>
    <n v="1"/>
    <s v="Life Sciences"/>
    <n v="1878"/>
    <n v="4"/>
    <s v="Male"/>
    <n v="75"/>
    <n v="3"/>
    <n v="1"/>
    <x v="1"/>
    <n v="2"/>
    <s v="Single"/>
    <n v="2472"/>
    <n v="26092"/>
    <n v="1"/>
    <s v="Yes"/>
    <n v="23"/>
    <n v="4"/>
    <n v="1"/>
    <n v="0"/>
    <n v="1"/>
    <n v="2"/>
    <n v="3"/>
    <n v="1"/>
    <n v="0"/>
    <n v="0"/>
    <n v="0"/>
    <x v="3"/>
    <n v="22248"/>
    <x v="2"/>
    <n v="22248"/>
  </r>
  <r>
    <n v="36"/>
    <x v="1"/>
    <s v="Travel_Rarely"/>
    <n v="1266"/>
    <x v="0"/>
    <n v="10"/>
    <n v="4"/>
    <s v="Technical Degree"/>
    <n v="1880"/>
    <n v="2"/>
    <s v="Female"/>
    <n v="63"/>
    <n v="2"/>
    <n v="2"/>
    <x v="0"/>
    <n v="3"/>
    <s v="Married"/>
    <n v="5673"/>
    <n v="6060"/>
    <n v="1"/>
    <s v="Yes"/>
    <n v="13"/>
    <n v="3"/>
    <n v="1"/>
    <n v="1"/>
    <n v="10"/>
    <n v="4"/>
    <n v="3"/>
    <n v="10"/>
    <n v="9"/>
    <n v="1"/>
    <n v="7"/>
    <x v="1"/>
    <n v="51057"/>
    <x v="0"/>
    <n v="0"/>
  </r>
  <r>
    <n v="31"/>
    <x v="1"/>
    <s v="Travel_Rarely"/>
    <n v="311"/>
    <x v="1"/>
    <n v="20"/>
    <n v="3"/>
    <s v="Life Sciences"/>
    <n v="1881"/>
    <n v="2"/>
    <s v="Male"/>
    <n v="89"/>
    <n v="3"/>
    <n v="2"/>
    <x v="2"/>
    <n v="3"/>
    <s v="Divorced"/>
    <n v="4197"/>
    <n v="18624"/>
    <n v="1"/>
    <s v="No"/>
    <n v="11"/>
    <n v="3"/>
    <n v="1"/>
    <n v="1"/>
    <n v="10"/>
    <n v="2"/>
    <n v="3"/>
    <n v="10"/>
    <n v="8"/>
    <n v="0"/>
    <n v="2"/>
    <x v="1"/>
    <n v="37773"/>
    <x v="1"/>
    <n v="0"/>
  </r>
  <r>
    <n v="34"/>
    <x v="1"/>
    <s v="Travel_Rarely"/>
    <n v="1480"/>
    <x v="0"/>
    <n v="4"/>
    <n v="3"/>
    <s v="Life Sciences"/>
    <n v="1882"/>
    <n v="3"/>
    <s v="Male"/>
    <n v="64"/>
    <n v="3"/>
    <n v="3"/>
    <x v="0"/>
    <n v="4"/>
    <s v="Married"/>
    <n v="9713"/>
    <n v="24444"/>
    <n v="2"/>
    <s v="Yes"/>
    <n v="13"/>
    <n v="3"/>
    <n v="4"/>
    <n v="3"/>
    <n v="9"/>
    <n v="3"/>
    <n v="3"/>
    <n v="5"/>
    <n v="3"/>
    <n v="1"/>
    <n v="0"/>
    <x v="0"/>
    <n v="87417"/>
    <x v="0"/>
    <n v="0"/>
  </r>
  <r>
    <n v="29"/>
    <x v="1"/>
    <s v="Travel_Rarely"/>
    <n v="592"/>
    <x v="1"/>
    <n v="7"/>
    <n v="3"/>
    <s v="Life Sciences"/>
    <n v="1883"/>
    <n v="4"/>
    <s v="Male"/>
    <n v="59"/>
    <n v="3"/>
    <n v="1"/>
    <x v="2"/>
    <n v="1"/>
    <s v="Single"/>
    <n v="2062"/>
    <n v="19384"/>
    <n v="3"/>
    <s v="No"/>
    <n v="14"/>
    <n v="3"/>
    <n v="2"/>
    <n v="0"/>
    <n v="11"/>
    <n v="2"/>
    <n v="3"/>
    <n v="3"/>
    <n v="2"/>
    <n v="1"/>
    <n v="2"/>
    <x v="3"/>
    <n v="18558"/>
    <x v="0"/>
    <n v="0"/>
  </r>
  <r>
    <n v="37"/>
    <x v="1"/>
    <s v="Travel_Rarely"/>
    <n v="783"/>
    <x v="1"/>
    <n v="7"/>
    <n v="4"/>
    <s v="Medical"/>
    <n v="1885"/>
    <n v="4"/>
    <s v="Male"/>
    <n v="78"/>
    <n v="3"/>
    <n v="2"/>
    <x v="1"/>
    <n v="1"/>
    <s v="Married"/>
    <n v="4284"/>
    <n v="13588"/>
    <n v="5"/>
    <s v="Yes"/>
    <n v="22"/>
    <n v="4"/>
    <n v="3"/>
    <n v="1"/>
    <n v="16"/>
    <n v="2"/>
    <n v="3"/>
    <n v="5"/>
    <n v="3"/>
    <n v="0"/>
    <n v="4"/>
    <x v="0"/>
    <n v="38556"/>
    <x v="0"/>
    <n v="0"/>
  </r>
  <r>
    <n v="35"/>
    <x v="1"/>
    <s v="Travel_Rarely"/>
    <n v="219"/>
    <x v="1"/>
    <n v="16"/>
    <n v="2"/>
    <s v="Other"/>
    <n v="1886"/>
    <n v="4"/>
    <s v="Female"/>
    <n v="44"/>
    <n v="2"/>
    <n v="2"/>
    <x v="3"/>
    <n v="2"/>
    <s v="Married"/>
    <n v="4788"/>
    <n v="25388"/>
    <n v="0"/>
    <s v="Yes"/>
    <n v="11"/>
    <n v="3"/>
    <n v="4"/>
    <n v="0"/>
    <n v="4"/>
    <n v="2"/>
    <n v="3"/>
    <n v="3"/>
    <n v="2"/>
    <n v="0"/>
    <n v="2"/>
    <x v="3"/>
    <n v="43092"/>
    <x v="2"/>
    <n v="0"/>
  </r>
  <r>
    <n v="45"/>
    <x v="1"/>
    <s v="Travel_Rarely"/>
    <n v="556"/>
    <x v="1"/>
    <n v="25"/>
    <n v="2"/>
    <s v="Life Sciences"/>
    <n v="1888"/>
    <n v="2"/>
    <s v="Female"/>
    <n v="93"/>
    <n v="2"/>
    <n v="2"/>
    <x v="3"/>
    <n v="4"/>
    <s v="Married"/>
    <n v="5906"/>
    <n v="23888"/>
    <n v="0"/>
    <s v="No"/>
    <n v="13"/>
    <n v="3"/>
    <n v="4"/>
    <n v="2"/>
    <n v="10"/>
    <n v="2"/>
    <n v="2"/>
    <n v="9"/>
    <n v="8"/>
    <n v="3"/>
    <n v="8"/>
    <x v="1"/>
    <n v="53154"/>
    <x v="1"/>
    <n v="0"/>
  </r>
  <r>
    <n v="36"/>
    <x v="1"/>
    <s v="Travel_Frequently"/>
    <n v="1213"/>
    <x v="2"/>
    <n v="2"/>
    <n v="1"/>
    <s v="Human Resources"/>
    <n v="1890"/>
    <n v="2"/>
    <s v="Male"/>
    <n v="94"/>
    <n v="2"/>
    <n v="2"/>
    <x v="8"/>
    <n v="4"/>
    <s v="Single"/>
    <n v="3886"/>
    <n v="4223"/>
    <n v="1"/>
    <s v="No"/>
    <n v="21"/>
    <n v="4"/>
    <n v="4"/>
    <n v="0"/>
    <n v="10"/>
    <n v="2"/>
    <n v="2"/>
    <n v="10"/>
    <n v="1"/>
    <n v="0"/>
    <n v="8"/>
    <x v="1"/>
    <n v="34974"/>
    <x v="1"/>
    <n v="0"/>
  </r>
  <r>
    <n v="40"/>
    <x v="1"/>
    <s v="Travel_Rarely"/>
    <n v="1137"/>
    <x v="1"/>
    <n v="1"/>
    <n v="4"/>
    <s v="Life Sciences"/>
    <n v="1892"/>
    <n v="1"/>
    <s v="Male"/>
    <n v="98"/>
    <n v="3"/>
    <n v="4"/>
    <x v="5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  <x v="1"/>
    <n v="151407"/>
    <x v="0"/>
    <n v="0"/>
  </r>
  <r>
    <n v="26"/>
    <x v="1"/>
    <s v="Travel_Rarely"/>
    <n v="482"/>
    <x v="1"/>
    <n v="1"/>
    <n v="2"/>
    <s v="Life Sciences"/>
    <n v="1893"/>
    <n v="2"/>
    <s v="Female"/>
    <n v="90"/>
    <n v="2"/>
    <n v="1"/>
    <x v="1"/>
    <n v="3"/>
    <s v="Married"/>
    <n v="2933"/>
    <n v="14908"/>
    <n v="1"/>
    <s v="Yes"/>
    <n v="13"/>
    <n v="3"/>
    <n v="3"/>
    <n v="1"/>
    <n v="1"/>
    <n v="3"/>
    <n v="2"/>
    <n v="1"/>
    <n v="0"/>
    <n v="1"/>
    <n v="0"/>
    <x v="3"/>
    <n v="26397"/>
    <x v="0"/>
    <n v="0"/>
  </r>
  <r>
    <n v="27"/>
    <x v="1"/>
    <s v="Travel_Rarely"/>
    <n v="511"/>
    <x v="0"/>
    <n v="2"/>
    <n v="2"/>
    <s v="Medical"/>
    <n v="1898"/>
    <n v="1"/>
    <s v="Female"/>
    <n v="89"/>
    <n v="4"/>
    <n v="2"/>
    <x v="0"/>
    <n v="3"/>
    <s v="Single"/>
    <n v="6500"/>
    <n v="26997"/>
    <n v="0"/>
    <s v="No"/>
    <n v="14"/>
    <n v="3"/>
    <n v="2"/>
    <n v="0"/>
    <n v="9"/>
    <n v="5"/>
    <n v="2"/>
    <n v="8"/>
    <n v="7"/>
    <n v="0"/>
    <n v="7"/>
    <x v="1"/>
    <n v="58500"/>
    <x v="1"/>
    <n v="0"/>
  </r>
  <r>
    <n v="48"/>
    <x v="1"/>
    <s v="Travel_Frequently"/>
    <n v="117"/>
    <x v="1"/>
    <n v="22"/>
    <n v="3"/>
    <s v="Medical"/>
    <n v="1900"/>
    <n v="4"/>
    <s v="Female"/>
    <n v="58"/>
    <n v="3"/>
    <n v="4"/>
    <x v="5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  <x v="1"/>
    <n v="154566"/>
    <x v="1"/>
    <n v="0"/>
  </r>
  <r>
    <n v="44"/>
    <x v="1"/>
    <s v="Travel_Rarely"/>
    <n v="170"/>
    <x v="1"/>
    <n v="1"/>
    <n v="4"/>
    <s v="Life Sciences"/>
    <n v="1903"/>
    <n v="2"/>
    <s v="Male"/>
    <n v="78"/>
    <n v="4"/>
    <n v="2"/>
    <x v="4"/>
    <n v="1"/>
    <s v="Married"/>
    <n v="5033"/>
    <n v="9364"/>
    <n v="2"/>
    <s v="No"/>
    <n v="15"/>
    <n v="3"/>
    <n v="4"/>
    <n v="1"/>
    <n v="10"/>
    <n v="5"/>
    <n v="3"/>
    <n v="2"/>
    <n v="0"/>
    <n v="2"/>
    <n v="2"/>
    <x v="3"/>
    <n v="45297"/>
    <x v="0"/>
    <n v="0"/>
  </r>
  <r>
    <n v="34"/>
    <x v="0"/>
    <s v="Non-Travel"/>
    <n v="967"/>
    <x v="1"/>
    <n v="16"/>
    <n v="4"/>
    <s v="Technical Degree"/>
    <n v="1905"/>
    <n v="4"/>
    <s v="Male"/>
    <n v="85"/>
    <n v="1"/>
    <n v="1"/>
    <x v="1"/>
    <n v="1"/>
    <s v="Married"/>
    <n v="2307"/>
    <n v="14460"/>
    <n v="1"/>
    <s v="Yes"/>
    <n v="23"/>
    <n v="4"/>
    <n v="2"/>
    <n v="1"/>
    <n v="5"/>
    <n v="2"/>
    <n v="3"/>
    <n v="5"/>
    <n v="2"/>
    <n v="3"/>
    <n v="0"/>
    <x v="0"/>
    <n v="20763"/>
    <x v="0"/>
    <n v="20763"/>
  </r>
  <r>
    <n v="56"/>
    <x v="0"/>
    <s v="Travel_Rarely"/>
    <n v="1162"/>
    <x v="1"/>
    <n v="24"/>
    <n v="2"/>
    <s v="Life Sciences"/>
    <n v="1907"/>
    <n v="1"/>
    <s v="Male"/>
    <n v="97"/>
    <n v="3"/>
    <n v="1"/>
    <x v="2"/>
    <n v="4"/>
    <s v="Single"/>
    <n v="2587"/>
    <n v="10261"/>
    <n v="1"/>
    <s v="No"/>
    <n v="16"/>
    <n v="3"/>
    <n v="4"/>
    <n v="0"/>
    <n v="5"/>
    <n v="3"/>
    <n v="3"/>
    <n v="4"/>
    <n v="2"/>
    <n v="1"/>
    <n v="0"/>
    <x v="0"/>
    <n v="23283"/>
    <x v="1"/>
    <n v="23283"/>
  </r>
  <r>
    <n v="36"/>
    <x v="1"/>
    <s v="Travel_Rarely"/>
    <n v="335"/>
    <x v="0"/>
    <n v="17"/>
    <n v="2"/>
    <s v="Marketing"/>
    <n v="1908"/>
    <n v="3"/>
    <s v="Male"/>
    <n v="33"/>
    <n v="2"/>
    <n v="2"/>
    <x v="0"/>
    <n v="2"/>
    <s v="Married"/>
    <n v="5507"/>
    <n v="16822"/>
    <n v="2"/>
    <s v="No"/>
    <n v="16"/>
    <n v="3"/>
    <n v="3"/>
    <n v="2"/>
    <n v="12"/>
    <n v="1"/>
    <n v="1"/>
    <n v="4"/>
    <n v="2"/>
    <n v="1"/>
    <n v="3"/>
    <x v="0"/>
    <n v="49563"/>
    <x v="0"/>
    <n v="0"/>
  </r>
  <r>
    <n v="41"/>
    <x v="1"/>
    <s v="Travel_Rarely"/>
    <n v="337"/>
    <x v="0"/>
    <n v="8"/>
    <n v="3"/>
    <s v="Marketing"/>
    <n v="1909"/>
    <n v="3"/>
    <s v="Female"/>
    <n v="54"/>
    <n v="3"/>
    <n v="2"/>
    <x v="0"/>
    <n v="2"/>
    <s v="Married"/>
    <n v="4393"/>
    <n v="26841"/>
    <n v="5"/>
    <s v="No"/>
    <n v="21"/>
    <n v="4"/>
    <n v="3"/>
    <n v="1"/>
    <n v="14"/>
    <n v="3"/>
    <n v="3"/>
    <n v="5"/>
    <n v="4"/>
    <n v="1"/>
    <n v="4"/>
    <x v="0"/>
    <n v="39537"/>
    <x v="0"/>
    <n v="0"/>
  </r>
  <r>
    <n v="42"/>
    <x v="1"/>
    <s v="Travel_Rarely"/>
    <n v="1396"/>
    <x v="1"/>
    <n v="6"/>
    <n v="3"/>
    <s v="Medical"/>
    <n v="1911"/>
    <n v="3"/>
    <s v="Male"/>
    <n v="83"/>
    <n v="3"/>
    <n v="3"/>
    <x v="7"/>
    <n v="1"/>
    <s v="Married"/>
    <n v="13348"/>
    <n v="14842"/>
    <n v="9"/>
    <s v="No"/>
    <n v="13"/>
    <n v="3"/>
    <n v="2"/>
    <n v="1"/>
    <n v="18"/>
    <n v="3"/>
    <n v="4"/>
    <n v="13"/>
    <n v="7"/>
    <n v="5"/>
    <n v="7"/>
    <x v="1"/>
    <n v="120132"/>
    <x v="0"/>
    <n v="0"/>
  </r>
  <r>
    <n v="31"/>
    <x v="1"/>
    <s v="Travel_Rarely"/>
    <n v="1079"/>
    <x v="0"/>
    <n v="10"/>
    <n v="2"/>
    <s v="Medical"/>
    <n v="1912"/>
    <n v="3"/>
    <s v="Female"/>
    <n v="86"/>
    <n v="3"/>
    <n v="2"/>
    <x v="0"/>
    <n v="4"/>
    <s v="Divorced"/>
    <n v="6583"/>
    <n v="20115"/>
    <n v="2"/>
    <s v="Yes"/>
    <n v="11"/>
    <n v="3"/>
    <n v="4"/>
    <n v="1"/>
    <n v="8"/>
    <n v="2"/>
    <n v="3"/>
    <n v="5"/>
    <n v="2"/>
    <n v="1"/>
    <n v="4"/>
    <x v="0"/>
    <n v="59247"/>
    <x v="0"/>
    <n v="0"/>
  </r>
  <r>
    <n v="34"/>
    <x v="1"/>
    <s v="Travel_Rarely"/>
    <n v="735"/>
    <x v="0"/>
    <n v="3"/>
    <n v="1"/>
    <s v="Medical"/>
    <n v="1915"/>
    <n v="4"/>
    <s v="Female"/>
    <n v="75"/>
    <n v="2"/>
    <n v="2"/>
    <x v="0"/>
    <n v="4"/>
    <s v="Married"/>
    <n v="8103"/>
    <n v="16495"/>
    <n v="3"/>
    <s v="Yes"/>
    <n v="12"/>
    <n v="3"/>
    <n v="3"/>
    <n v="0"/>
    <n v="9"/>
    <n v="3"/>
    <n v="2"/>
    <n v="4"/>
    <n v="2"/>
    <n v="0"/>
    <n v="1"/>
    <x v="0"/>
    <n v="72927"/>
    <x v="0"/>
    <n v="0"/>
  </r>
  <r>
    <n v="31"/>
    <x v="1"/>
    <s v="Travel_Rarely"/>
    <n v="471"/>
    <x v="1"/>
    <n v="4"/>
    <n v="3"/>
    <s v="Medical"/>
    <n v="1916"/>
    <n v="1"/>
    <s v="Female"/>
    <n v="62"/>
    <n v="4"/>
    <n v="1"/>
    <x v="2"/>
    <n v="3"/>
    <s v="Divorced"/>
    <n v="3978"/>
    <n v="16031"/>
    <n v="8"/>
    <s v="No"/>
    <n v="12"/>
    <n v="3"/>
    <n v="2"/>
    <n v="1"/>
    <n v="4"/>
    <n v="0"/>
    <n v="2"/>
    <n v="2"/>
    <n v="2"/>
    <n v="2"/>
    <n v="2"/>
    <x v="3"/>
    <n v="35802"/>
    <x v="1"/>
    <n v="0"/>
  </r>
  <r>
    <n v="26"/>
    <x v="1"/>
    <s v="Travel_Frequently"/>
    <n v="1096"/>
    <x v="1"/>
    <n v="6"/>
    <n v="3"/>
    <s v="Other"/>
    <n v="1918"/>
    <n v="3"/>
    <s v="Male"/>
    <n v="61"/>
    <n v="4"/>
    <n v="1"/>
    <x v="2"/>
    <n v="4"/>
    <s v="Married"/>
    <n v="2544"/>
    <n v="7102"/>
    <n v="0"/>
    <s v="No"/>
    <n v="18"/>
    <n v="3"/>
    <n v="1"/>
    <n v="1"/>
    <n v="8"/>
    <n v="3"/>
    <n v="3"/>
    <n v="7"/>
    <n v="7"/>
    <n v="7"/>
    <n v="7"/>
    <x v="1"/>
    <n v="22896"/>
    <x v="1"/>
    <n v="0"/>
  </r>
  <r>
    <n v="45"/>
    <x v="1"/>
    <s v="Travel_Frequently"/>
    <n v="1297"/>
    <x v="1"/>
    <n v="1"/>
    <n v="4"/>
    <s v="Medical"/>
    <n v="1922"/>
    <n v="2"/>
    <s v="Male"/>
    <n v="44"/>
    <n v="3"/>
    <n v="2"/>
    <x v="4"/>
    <n v="3"/>
    <s v="Single"/>
    <n v="5399"/>
    <n v="14511"/>
    <n v="4"/>
    <s v="No"/>
    <n v="12"/>
    <n v="3"/>
    <n v="3"/>
    <n v="0"/>
    <n v="12"/>
    <n v="3"/>
    <n v="3"/>
    <n v="4"/>
    <n v="2"/>
    <n v="0"/>
    <n v="3"/>
    <x v="0"/>
    <n v="48591"/>
    <x v="1"/>
    <n v="0"/>
  </r>
  <r>
    <n v="33"/>
    <x v="1"/>
    <s v="Travel_Rarely"/>
    <n v="217"/>
    <x v="0"/>
    <n v="10"/>
    <n v="4"/>
    <s v="Marketing"/>
    <n v="1924"/>
    <n v="2"/>
    <s v="Male"/>
    <n v="43"/>
    <n v="3"/>
    <n v="2"/>
    <x v="0"/>
    <n v="3"/>
    <s v="Single"/>
    <n v="5487"/>
    <n v="10410"/>
    <n v="1"/>
    <s v="No"/>
    <n v="14"/>
    <n v="3"/>
    <n v="2"/>
    <n v="0"/>
    <n v="10"/>
    <n v="2"/>
    <n v="2"/>
    <n v="10"/>
    <n v="4"/>
    <n v="0"/>
    <n v="9"/>
    <x v="1"/>
    <n v="49383"/>
    <x v="1"/>
    <n v="0"/>
  </r>
  <r>
    <n v="28"/>
    <x v="1"/>
    <s v="Travel_Frequently"/>
    <n v="783"/>
    <x v="0"/>
    <n v="1"/>
    <n v="2"/>
    <s v="Life Sciences"/>
    <n v="1927"/>
    <n v="3"/>
    <s v="Male"/>
    <n v="42"/>
    <n v="2"/>
    <n v="2"/>
    <x v="0"/>
    <n v="4"/>
    <s v="Married"/>
    <n v="6834"/>
    <n v="19255"/>
    <n v="1"/>
    <s v="Yes"/>
    <n v="12"/>
    <n v="3"/>
    <n v="3"/>
    <n v="1"/>
    <n v="7"/>
    <n v="2"/>
    <n v="3"/>
    <n v="7"/>
    <n v="7"/>
    <n v="0"/>
    <n v="7"/>
    <x v="1"/>
    <n v="61506"/>
    <x v="0"/>
    <n v="0"/>
  </r>
  <r>
    <n v="29"/>
    <x v="0"/>
    <s v="Travel_Frequently"/>
    <n v="746"/>
    <x v="0"/>
    <n v="24"/>
    <n v="3"/>
    <s v="Technical Degree"/>
    <n v="1928"/>
    <n v="3"/>
    <s v="Male"/>
    <n v="45"/>
    <n v="4"/>
    <n v="1"/>
    <x v="6"/>
    <n v="1"/>
    <s v="Single"/>
    <n v="1091"/>
    <n v="10642"/>
    <n v="1"/>
    <s v="No"/>
    <n v="17"/>
    <n v="3"/>
    <n v="4"/>
    <n v="0"/>
    <n v="1"/>
    <n v="3"/>
    <n v="3"/>
    <n v="1"/>
    <n v="0"/>
    <n v="0"/>
    <n v="0"/>
    <x v="3"/>
    <n v="9819"/>
    <x v="0"/>
    <n v="9819"/>
  </r>
  <r>
    <n v="39"/>
    <x v="1"/>
    <s v="Non-Travel"/>
    <n v="1251"/>
    <x v="0"/>
    <n v="21"/>
    <n v="4"/>
    <s v="Life Sciences"/>
    <n v="1929"/>
    <n v="1"/>
    <s v="Female"/>
    <n v="32"/>
    <n v="1"/>
    <n v="2"/>
    <x v="0"/>
    <n v="3"/>
    <s v="Married"/>
    <n v="5736"/>
    <n v="3987"/>
    <n v="6"/>
    <s v="No"/>
    <n v="19"/>
    <n v="3"/>
    <n v="3"/>
    <n v="1"/>
    <n v="10"/>
    <n v="1"/>
    <n v="3"/>
    <n v="3"/>
    <n v="2"/>
    <n v="1"/>
    <n v="2"/>
    <x v="3"/>
    <n v="51624"/>
    <x v="1"/>
    <n v="0"/>
  </r>
  <r>
    <n v="27"/>
    <x v="1"/>
    <s v="Travel_Rarely"/>
    <n v="1354"/>
    <x v="1"/>
    <n v="2"/>
    <n v="4"/>
    <s v="Technical Degree"/>
    <n v="1931"/>
    <n v="2"/>
    <s v="Male"/>
    <n v="41"/>
    <n v="3"/>
    <n v="1"/>
    <x v="1"/>
    <n v="2"/>
    <s v="Married"/>
    <n v="2226"/>
    <n v="6073"/>
    <n v="1"/>
    <s v="No"/>
    <n v="11"/>
    <n v="3"/>
    <n v="3"/>
    <n v="1"/>
    <n v="6"/>
    <n v="3"/>
    <n v="2"/>
    <n v="5"/>
    <n v="3"/>
    <n v="1"/>
    <n v="2"/>
    <x v="0"/>
    <n v="20034"/>
    <x v="0"/>
    <n v="0"/>
  </r>
  <r>
    <n v="34"/>
    <x v="1"/>
    <s v="Travel_Frequently"/>
    <n v="735"/>
    <x v="1"/>
    <n v="22"/>
    <n v="4"/>
    <s v="Other"/>
    <n v="1932"/>
    <n v="3"/>
    <s v="Male"/>
    <n v="86"/>
    <n v="2"/>
    <n v="2"/>
    <x v="1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  <x v="1"/>
    <n v="51723"/>
    <x v="0"/>
    <n v="0"/>
  </r>
  <r>
    <n v="28"/>
    <x v="0"/>
    <s v="Travel_Rarely"/>
    <n v="1475"/>
    <x v="0"/>
    <n v="13"/>
    <n v="2"/>
    <s v="Marketing"/>
    <n v="1933"/>
    <n v="4"/>
    <s v="Female"/>
    <n v="84"/>
    <n v="3"/>
    <n v="2"/>
    <x v="0"/>
    <n v="3"/>
    <s v="Single"/>
    <n v="9854"/>
    <n v="23352"/>
    <n v="3"/>
    <s v="Yes"/>
    <n v="11"/>
    <n v="3"/>
    <n v="4"/>
    <n v="0"/>
    <n v="6"/>
    <n v="0"/>
    <n v="3"/>
    <n v="2"/>
    <n v="0"/>
    <n v="2"/>
    <n v="2"/>
    <x v="3"/>
    <n v="88686"/>
    <x v="0"/>
    <n v="88686"/>
  </r>
  <r>
    <n v="47"/>
    <x v="1"/>
    <s v="Non-Travel"/>
    <n v="1169"/>
    <x v="1"/>
    <n v="14"/>
    <n v="4"/>
    <s v="Technical Degree"/>
    <n v="1934"/>
    <n v="3"/>
    <s v="Male"/>
    <n v="64"/>
    <n v="3"/>
    <n v="2"/>
    <x v="1"/>
    <n v="2"/>
    <s v="Married"/>
    <n v="5467"/>
    <n v="2125"/>
    <n v="8"/>
    <s v="No"/>
    <n v="18"/>
    <n v="3"/>
    <n v="3"/>
    <n v="1"/>
    <n v="16"/>
    <n v="4"/>
    <n v="4"/>
    <n v="8"/>
    <n v="7"/>
    <n v="1"/>
    <n v="7"/>
    <x v="1"/>
    <n v="49203"/>
    <x v="0"/>
    <n v="0"/>
  </r>
  <r>
    <n v="56"/>
    <x v="1"/>
    <s v="Travel_Rarely"/>
    <n v="1443"/>
    <x v="0"/>
    <n v="11"/>
    <n v="5"/>
    <s v="Marketing"/>
    <n v="1935"/>
    <n v="4"/>
    <s v="Female"/>
    <n v="89"/>
    <n v="2"/>
    <n v="2"/>
    <x v="0"/>
    <n v="1"/>
    <s v="Married"/>
    <n v="5380"/>
    <n v="20328"/>
    <n v="4"/>
    <s v="No"/>
    <n v="16"/>
    <n v="3"/>
    <n v="3"/>
    <n v="1"/>
    <n v="6"/>
    <n v="3"/>
    <n v="3"/>
    <n v="0"/>
    <n v="0"/>
    <n v="0"/>
    <n v="0"/>
    <x v="2"/>
    <n v="48420"/>
    <x v="0"/>
    <n v="0"/>
  </r>
  <r>
    <n v="39"/>
    <x v="1"/>
    <s v="Travel_Rarely"/>
    <n v="867"/>
    <x v="1"/>
    <n v="9"/>
    <n v="2"/>
    <s v="Medical"/>
    <n v="1936"/>
    <n v="1"/>
    <s v="Male"/>
    <n v="87"/>
    <n v="3"/>
    <n v="2"/>
    <x v="3"/>
    <n v="1"/>
    <s v="Married"/>
    <n v="5151"/>
    <n v="12315"/>
    <n v="1"/>
    <s v="No"/>
    <n v="25"/>
    <n v="4"/>
    <n v="4"/>
    <n v="1"/>
    <n v="10"/>
    <n v="3"/>
    <n v="3"/>
    <n v="10"/>
    <n v="0"/>
    <n v="7"/>
    <n v="9"/>
    <x v="1"/>
    <n v="46359"/>
    <x v="0"/>
    <n v="0"/>
  </r>
  <r>
    <n v="38"/>
    <x v="1"/>
    <s v="Travel_Frequently"/>
    <n v="1394"/>
    <x v="1"/>
    <n v="8"/>
    <n v="3"/>
    <s v="Medical"/>
    <n v="1937"/>
    <n v="4"/>
    <s v="Female"/>
    <n v="58"/>
    <n v="2"/>
    <n v="2"/>
    <x v="1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  <x v="1"/>
    <n v="19197"/>
    <x v="0"/>
    <n v="0"/>
  </r>
  <r>
    <n v="58"/>
    <x v="1"/>
    <s v="Travel_Rarely"/>
    <n v="605"/>
    <x v="0"/>
    <n v="21"/>
    <n v="3"/>
    <s v="Life Sciences"/>
    <n v="1938"/>
    <n v="4"/>
    <s v="Female"/>
    <n v="72"/>
    <n v="3"/>
    <n v="4"/>
    <x v="5"/>
    <n v="4"/>
    <s v="Married"/>
    <n v="17875"/>
    <n v="11761"/>
    <n v="4"/>
    <s v="Yes"/>
    <n v="13"/>
    <n v="3"/>
    <n v="3"/>
    <n v="1"/>
    <n v="29"/>
    <n v="2"/>
    <n v="2"/>
    <n v="1"/>
    <n v="0"/>
    <n v="0"/>
    <n v="0"/>
    <x v="3"/>
    <n v="160875"/>
    <x v="0"/>
    <n v="0"/>
  </r>
  <r>
    <n v="32"/>
    <x v="0"/>
    <s v="Travel_Frequently"/>
    <n v="238"/>
    <x v="1"/>
    <n v="5"/>
    <n v="2"/>
    <s v="Life Sciences"/>
    <n v="1939"/>
    <n v="1"/>
    <s v="Female"/>
    <n v="47"/>
    <n v="4"/>
    <n v="1"/>
    <x v="1"/>
    <n v="3"/>
    <s v="Single"/>
    <n v="2432"/>
    <n v="15318"/>
    <n v="3"/>
    <s v="Yes"/>
    <n v="14"/>
    <n v="3"/>
    <n v="1"/>
    <n v="0"/>
    <n v="8"/>
    <n v="2"/>
    <n v="3"/>
    <n v="4"/>
    <n v="1"/>
    <n v="0"/>
    <n v="3"/>
    <x v="0"/>
    <n v="21888"/>
    <x v="0"/>
    <n v="21888"/>
  </r>
  <r>
    <n v="38"/>
    <x v="1"/>
    <s v="Travel_Rarely"/>
    <n v="1206"/>
    <x v="1"/>
    <n v="9"/>
    <n v="2"/>
    <s v="Life Sciences"/>
    <n v="1940"/>
    <n v="2"/>
    <s v="Male"/>
    <n v="71"/>
    <n v="3"/>
    <n v="1"/>
    <x v="1"/>
    <n v="4"/>
    <s v="Divorced"/>
    <n v="4771"/>
    <n v="14293"/>
    <n v="2"/>
    <s v="No"/>
    <n v="19"/>
    <n v="3"/>
    <n v="4"/>
    <n v="2"/>
    <n v="10"/>
    <n v="0"/>
    <n v="4"/>
    <n v="5"/>
    <n v="2"/>
    <n v="0"/>
    <n v="3"/>
    <x v="0"/>
    <n v="42939"/>
    <x v="1"/>
    <n v="0"/>
  </r>
  <r>
    <n v="49"/>
    <x v="1"/>
    <s v="Travel_Frequently"/>
    <n v="1064"/>
    <x v="1"/>
    <n v="2"/>
    <n v="1"/>
    <s v="Life Sciences"/>
    <n v="1941"/>
    <n v="2"/>
    <s v="Male"/>
    <n v="42"/>
    <n v="3"/>
    <n v="5"/>
    <x v="7"/>
    <n v="4"/>
    <s v="Married"/>
    <n v="19161"/>
    <n v="13738"/>
    <n v="3"/>
    <s v="No"/>
    <n v="15"/>
    <n v="3"/>
    <n v="4"/>
    <n v="0"/>
    <n v="28"/>
    <n v="3"/>
    <n v="3"/>
    <n v="5"/>
    <n v="4"/>
    <n v="4"/>
    <n v="3"/>
    <x v="0"/>
    <n v="172449"/>
    <x v="1"/>
    <n v="0"/>
  </r>
  <r>
    <n v="42"/>
    <x v="1"/>
    <s v="Travel_Rarely"/>
    <n v="419"/>
    <x v="0"/>
    <n v="12"/>
    <n v="4"/>
    <s v="Marketing"/>
    <n v="1943"/>
    <n v="2"/>
    <s v="Male"/>
    <n v="77"/>
    <n v="3"/>
    <n v="2"/>
    <x v="0"/>
    <n v="4"/>
    <s v="Divorced"/>
    <n v="5087"/>
    <n v="2900"/>
    <n v="3"/>
    <s v="Yes"/>
    <n v="12"/>
    <n v="3"/>
    <n v="3"/>
    <n v="2"/>
    <n v="14"/>
    <n v="4"/>
    <n v="3"/>
    <n v="0"/>
    <n v="0"/>
    <n v="0"/>
    <n v="0"/>
    <x v="2"/>
    <n v="45783"/>
    <x v="0"/>
    <n v="0"/>
  </r>
  <r>
    <n v="27"/>
    <x v="0"/>
    <s v="Travel_Frequently"/>
    <n v="1337"/>
    <x v="2"/>
    <n v="22"/>
    <n v="3"/>
    <s v="Human Resources"/>
    <n v="1944"/>
    <n v="1"/>
    <s v="Female"/>
    <n v="58"/>
    <n v="2"/>
    <n v="1"/>
    <x v="8"/>
    <n v="2"/>
    <s v="Married"/>
    <n v="2863"/>
    <n v="19555"/>
    <n v="1"/>
    <s v="No"/>
    <n v="12"/>
    <n v="3"/>
    <n v="1"/>
    <n v="0"/>
    <n v="1"/>
    <n v="2"/>
    <n v="3"/>
    <n v="1"/>
    <n v="0"/>
    <n v="0"/>
    <n v="0"/>
    <x v="3"/>
    <n v="25767"/>
    <x v="0"/>
    <n v="25767"/>
  </r>
  <r>
    <n v="35"/>
    <x v="1"/>
    <s v="Travel_Rarely"/>
    <n v="682"/>
    <x v="0"/>
    <n v="18"/>
    <n v="4"/>
    <s v="Medical"/>
    <n v="1945"/>
    <n v="2"/>
    <s v="Male"/>
    <n v="71"/>
    <n v="3"/>
    <n v="2"/>
    <x v="0"/>
    <n v="1"/>
    <s v="Married"/>
    <n v="5561"/>
    <n v="15975"/>
    <n v="0"/>
    <s v="No"/>
    <n v="16"/>
    <n v="3"/>
    <n v="4"/>
    <n v="1"/>
    <n v="6"/>
    <n v="2"/>
    <n v="1"/>
    <n v="5"/>
    <n v="3"/>
    <n v="0"/>
    <n v="4"/>
    <x v="0"/>
    <n v="50049"/>
    <x v="0"/>
    <n v="0"/>
  </r>
  <r>
    <n v="28"/>
    <x v="1"/>
    <s v="Non-Travel"/>
    <n v="1103"/>
    <x v="1"/>
    <n v="16"/>
    <n v="3"/>
    <s v="Medical"/>
    <n v="1947"/>
    <n v="3"/>
    <s v="Male"/>
    <n v="49"/>
    <n v="3"/>
    <n v="1"/>
    <x v="1"/>
    <n v="3"/>
    <s v="Single"/>
    <n v="2144"/>
    <n v="2122"/>
    <n v="1"/>
    <s v="No"/>
    <n v="14"/>
    <n v="3"/>
    <n v="3"/>
    <n v="0"/>
    <n v="5"/>
    <n v="3"/>
    <n v="2"/>
    <n v="5"/>
    <n v="3"/>
    <n v="1"/>
    <n v="4"/>
    <x v="0"/>
    <n v="19296"/>
    <x v="1"/>
    <n v="0"/>
  </r>
  <r>
    <n v="31"/>
    <x v="1"/>
    <s v="Non-Travel"/>
    <n v="976"/>
    <x v="1"/>
    <n v="3"/>
    <n v="2"/>
    <s v="Medical"/>
    <n v="1948"/>
    <n v="3"/>
    <s v="Male"/>
    <n v="48"/>
    <n v="3"/>
    <n v="1"/>
    <x v="1"/>
    <n v="1"/>
    <s v="Divorced"/>
    <n v="3065"/>
    <n v="3995"/>
    <n v="1"/>
    <s v="Yes"/>
    <n v="13"/>
    <n v="3"/>
    <n v="4"/>
    <n v="1"/>
    <n v="4"/>
    <n v="3"/>
    <n v="4"/>
    <n v="4"/>
    <n v="2"/>
    <n v="2"/>
    <n v="3"/>
    <x v="0"/>
    <n v="27585"/>
    <x v="0"/>
    <n v="0"/>
  </r>
  <r>
    <n v="36"/>
    <x v="1"/>
    <s v="Non-Travel"/>
    <n v="1351"/>
    <x v="1"/>
    <n v="9"/>
    <n v="4"/>
    <s v="Life Sciences"/>
    <n v="1949"/>
    <n v="1"/>
    <s v="Male"/>
    <n v="66"/>
    <n v="4"/>
    <n v="1"/>
    <x v="2"/>
    <n v="2"/>
    <s v="Married"/>
    <n v="2810"/>
    <n v="9238"/>
    <n v="1"/>
    <s v="No"/>
    <n v="22"/>
    <n v="4"/>
    <n v="2"/>
    <n v="0"/>
    <n v="5"/>
    <n v="3"/>
    <n v="3"/>
    <n v="5"/>
    <n v="4"/>
    <n v="0"/>
    <n v="2"/>
    <x v="0"/>
    <n v="25290"/>
    <x v="0"/>
    <n v="0"/>
  </r>
  <r>
    <n v="34"/>
    <x v="1"/>
    <s v="Travel_Rarely"/>
    <n v="937"/>
    <x v="0"/>
    <n v="1"/>
    <n v="3"/>
    <s v="Marketing"/>
    <n v="1950"/>
    <n v="1"/>
    <s v="Male"/>
    <n v="32"/>
    <n v="3"/>
    <n v="3"/>
    <x v="0"/>
    <n v="4"/>
    <s v="Single"/>
    <n v="9888"/>
    <n v="6770"/>
    <n v="1"/>
    <s v="No"/>
    <n v="21"/>
    <n v="4"/>
    <n v="1"/>
    <n v="0"/>
    <n v="14"/>
    <n v="3"/>
    <n v="2"/>
    <n v="14"/>
    <n v="8"/>
    <n v="2"/>
    <n v="1"/>
    <x v="1"/>
    <n v="88992"/>
    <x v="1"/>
    <n v="0"/>
  </r>
  <r>
    <n v="34"/>
    <x v="1"/>
    <s v="Travel_Rarely"/>
    <n v="1239"/>
    <x v="0"/>
    <n v="13"/>
    <n v="4"/>
    <s v="Medical"/>
    <n v="1951"/>
    <n v="4"/>
    <s v="Male"/>
    <n v="39"/>
    <n v="3"/>
    <n v="3"/>
    <x v="0"/>
    <n v="3"/>
    <s v="Divorced"/>
    <n v="8628"/>
    <n v="22914"/>
    <n v="1"/>
    <s v="No"/>
    <n v="18"/>
    <n v="3"/>
    <n v="3"/>
    <n v="1"/>
    <n v="9"/>
    <n v="2"/>
    <n v="2"/>
    <n v="8"/>
    <n v="7"/>
    <n v="1"/>
    <n v="1"/>
    <x v="1"/>
    <n v="77652"/>
    <x v="1"/>
    <n v="0"/>
  </r>
  <r>
    <n v="26"/>
    <x v="1"/>
    <s v="Travel_Rarely"/>
    <n v="157"/>
    <x v="1"/>
    <n v="1"/>
    <n v="3"/>
    <s v="Medical"/>
    <n v="1952"/>
    <n v="3"/>
    <s v="Male"/>
    <n v="95"/>
    <n v="3"/>
    <n v="1"/>
    <x v="2"/>
    <n v="1"/>
    <s v="Single"/>
    <n v="2867"/>
    <n v="20006"/>
    <n v="0"/>
    <s v="No"/>
    <n v="13"/>
    <n v="3"/>
    <n v="4"/>
    <n v="0"/>
    <n v="8"/>
    <n v="6"/>
    <n v="2"/>
    <n v="7"/>
    <n v="7"/>
    <n v="7"/>
    <n v="6"/>
    <x v="1"/>
    <n v="25803"/>
    <x v="0"/>
    <n v="0"/>
  </r>
  <r>
    <n v="29"/>
    <x v="1"/>
    <s v="Travel_Rarely"/>
    <n v="136"/>
    <x v="1"/>
    <n v="1"/>
    <n v="3"/>
    <s v="Life Sciences"/>
    <n v="1954"/>
    <n v="1"/>
    <s v="Male"/>
    <n v="89"/>
    <n v="3"/>
    <n v="2"/>
    <x v="4"/>
    <n v="1"/>
    <s v="Married"/>
    <n v="5373"/>
    <n v="6225"/>
    <n v="0"/>
    <s v="No"/>
    <n v="12"/>
    <n v="3"/>
    <n v="1"/>
    <n v="1"/>
    <n v="6"/>
    <n v="5"/>
    <n v="2"/>
    <n v="5"/>
    <n v="3"/>
    <n v="0"/>
    <n v="2"/>
    <x v="0"/>
    <n v="48357"/>
    <x v="0"/>
    <n v="0"/>
  </r>
  <r>
    <n v="32"/>
    <x v="1"/>
    <s v="Non-Travel"/>
    <n v="1146"/>
    <x v="1"/>
    <n v="15"/>
    <n v="4"/>
    <s v="Medical"/>
    <n v="1955"/>
    <n v="3"/>
    <s v="Female"/>
    <n v="34"/>
    <n v="3"/>
    <n v="2"/>
    <x v="4"/>
    <n v="4"/>
    <s v="Divorced"/>
    <n v="6667"/>
    <n v="16542"/>
    <n v="5"/>
    <s v="No"/>
    <n v="18"/>
    <n v="3"/>
    <n v="2"/>
    <n v="1"/>
    <n v="9"/>
    <n v="6"/>
    <n v="3"/>
    <n v="5"/>
    <n v="1"/>
    <n v="1"/>
    <n v="2"/>
    <x v="0"/>
    <n v="60003"/>
    <x v="1"/>
    <n v="0"/>
  </r>
  <r>
    <n v="31"/>
    <x v="1"/>
    <s v="Travel_Frequently"/>
    <n v="1125"/>
    <x v="1"/>
    <n v="1"/>
    <n v="3"/>
    <s v="Life Sciences"/>
    <n v="1956"/>
    <n v="4"/>
    <s v="Male"/>
    <n v="48"/>
    <n v="1"/>
    <n v="2"/>
    <x v="1"/>
    <n v="1"/>
    <s v="Married"/>
    <n v="5003"/>
    <n v="5771"/>
    <n v="1"/>
    <s v="No"/>
    <n v="21"/>
    <n v="4"/>
    <n v="2"/>
    <n v="0"/>
    <n v="10"/>
    <n v="6"/>
    <n v="3"/>
    <n v="10"/>
    <n v="8"/>
    <n v="8"/>
    <n v="7"/>
    <x v="1"/>
    <n v="45027"/>
    <x v="0"/>
    <n v="0"/>
  </r>
  <r>
    <n v="28"/>
    <x v="0"/>
    <s v="Travel_Rarely"/>
    <n v="1404"/>
    <x v="1"/>
    <n v="17"/>
    <n v="3"/>
    <s v="Technical Degree"/>
    <n v="1960"/>
    <n v="3"/>
    <s v="Male"/>
    <n v="32"/>
    <n v="2"/>
    <n v="1"/>
    <x v="2"/>
    <n v="4"/>
    <s v="Divorced"/>
    <n v="2367"/>
    <n v="18779"/>
    <n v="5"/>
    <s v="No"/>
    <n v="12"/>
    <n v="3"/>
    <n v="1"/>
    <n v="1"/>
    <n v="6"/>
    <n v="2"/>
    <n v="2"/>
    <n v="4"/>
    <n v="1"/>
    <n v="0"/>
    <n v="3"/>
    <x v="0"/>
    <n v="21303"/>
    <x v="1"/>
    <n v="21303"/>
  </r>
  <r>
    <n v="38"/>
    <x v="1"/>
    <s v="Travel_Rarely"/>
    <n v="1404"/>
    <x v="0"/>
    <n v="1"/>
    <n v="3"/>
    <s v="Life Sciences"/>
    <n v="1961"/>
    <n v="1"/>
    <s v="Male"/>
    <n v="59"/>
    <n v="2"/>
    <n v="1"/>
    <x v="6"/>
    <n v="1"/>
    <s v="Single"/>
    <n v="2858"/>
    <n v="11473"/>
    <n v="4"/>
    <s v="No"/>
    <n v="14"/>
    <n v="3"/>
    <n v="1"/>
    <n v="0"/>
    <n v="20"/>
    <n v="3"/>
    <n v="2"/>
    <n v="1"/>
    <n v="0"/>
    <n v="0"/>
    <n v="0"/>
    <x v="3"/>
    <n v="25722"/>
    <x v="0"/>
    <n v="0"/>
  </r>
  <r>
    <n v="35"/>
    <x v="1"/>
    <s v="Travel_Rarely"/>
    <n v="1224"/>
    <x v="0"/>
    <n v="7"/>
    <n v="4"/>
    <s v="Life Sciences"/>
    <n v="1962"/>
    <n v="3"/>
    <s v="Female"/>
    <n v="55"/>
    <n v="3"/>
    <n v="2"/>
    <x v="0"/>
    <n v="4"/>
    <s v="Married"/>
    <n v="5204"/>
    <n v="13586"/>
    <n v="1"/>
    <s v="Yes"/>
    <n v="11"/>
    <n v="3"/>
    <n v="4"/>
    <n v="0"/>
    <n v="10"/>
    <n v="2"/>
    <n v="3"/>
    <n v="10"/>
    <n v="8"/>
    <n v="0"/>
    <n v="9"/>
    <x v="1"/>
    <n v="46836"/>
    <x v="0"/>
    <n v="0"/>
  </r>
  <r>
    <n v="27"/>
    <x v="1"/>
    <s v="Travel_Rarely"/>
    <n v="954"/>
    <x v="0"/>
    <n v="9"/>
    <n v="3"/>
    <s v="Marketing"/>
    <n v="1965"/>
    <n v="4"/>
    <s v="Male"/>
    <n v="44"/>
    <n v="3"/>
    <n v="2"/>
    <x v="0"/>
    <n v="4"/>
    <s v="Single"/>
    <n v="4105"/>
    <n v="5099"/>
    <n v="1"/>
    <s v="No"/>
    <n v="14"/>
    <n v="3"/>
    <n v="1"/>
    <n v="0"/>
    <n v="7"/>
    <n v="5"/>
    <n v="3"/>
    <n v="7"/>
    <n v="7"/>
    <n v="0"/>
    <n v="7"/>
    <x v="1"/>
    <n v="36945"/>
    <x v="1"/>
    <n v="0"/>
  </r>
  <r>
    <n v="32"/>
    <x v="1"/>
    <s v="Travel_Rarely"/>
    <n v="1373"/>
    <x v="1"/>
    <n v="5"/>
    <n v="4"/>
    <s v="Life Sciences"/>
    <n v="1966"/>
    <n v="4"/>
    <s v="Male"/>
    <n v="56"/>
    <n v="2"/>
    <n v="2"/>
    <x v="3"/>
    <n v="4"/>
    <s v="Single"/>
    <n v="9679"/>
    <n v="10138"/>
    <n v="8"/>
    <s v="No"/>
    <n v="24"/>
    <n v="4"/>
    <n v="2"/>
    <n v="0"/>
    <n v="8"/>
    <n v="1"/>
    <n v="3"/>
    <n v="1"/>
    <n v="0"/>
    <n v="0"/>
    <n v="0"/>
    <x v="3"/>
    <n v="87111"/>
    <x v="1"/>
    <n v="0"/>
  </r>
  <r>
    <n v="31"/>
    <x v="0"/>
    <s v="Travel_Frequently"/>
    <n v="754"/>
    <x v="0"/>
    <n v="26"/>
    <n v="4"/>
    <s v="Marketing"/>
    <n v="1967"/>
    <n v="1"/>
    <s v="Male"/>
    <n v="63"/>
    <n v="3"/>
    <n v="2"/>
    <x v="0"/>
    <n v="4"/>
    <s v="Married"/>
    <n v="5617"/>
    <n v="21075"/>
    <n v="1"/>
    <s v="Yes"/>
    <n v="11"/>
    <n v="3"/>
    <n v="3"/>
    <n v="0"/>
    <n v="10"/>
    <n v="4"/>
    <n v="3"/>
    <n v="10"/>
    <n v="7"/>
    <n v="0"/>
    <n v="8"/>
    <x v="1"/>
    <n v="50553"/>
    <x v="0"/>
    <n v="50553"/>
  </r>
  <r>
    <n v="53"/>
    <x v="0"/>
    <s v="Travel_Rarely"/>
    <n v="1168"/>
    <x v="0"/>
    <n v="24"/>
    <n v="4"/>
    <s v="Life Sciences"/>
    <n v="1968"/>
    <n v="1"/>
    <s v="Male"/>
    <n v="66"/>
    <n v="3"/>
    <n v="3"/>
    <x v="0"/>
    <n v="1"/>
    <s v="Single"/>
    <n v="10448"/>
    <n v="5843"/>
    <n v="6"/>
    <s v="Yes"/>
    <n v="13"/>
    <n v="3"/>
    <n v="2"/>
    <n v="0"/>
    <n v="15"/>
    <n v="2"/>
    <n v="2"/>
    <n v="2"/>
    <n v="2"/>
    <n v="2"/>
    <n v="2"/>
    <x v="3"/>
    <n v="94032"/>
    <x v="2"/>
    <n v="94032"/>
  </r>
  <r>
    <n v="54"/>
    <x v="1"/>
    <s v="Travel_Rarely"/>
    <n v="155"/>
    <x v="1"/>
    <n v="9"/>
    <n v="2"/>
    <s v="Life Sciences"/>
    <n v="1969"/>
    <n v="1"/>
    <s v="Female"/>
    <n v="67"/>
    <n v="3"/>
    <n v="2"/>
    <x v="1"/>
    <n v="3"/>
    <s v="Married"/>
    <n v="2897"/>
    <n v="22474"/>
    <n v="3"/>
    <s v="No"/>
    <n v="11"/>
    <n v="3"/>
    <n v="3"/>
    <n v="2"/>
    <n v="9"/>
    <n v="6"/>
    <n v="2"/>
    <n v="4"/>
    <n v="3"/>
    <n v="2"/>
    <n v="3"/>
    <x v="0"/>
    <n v="26073"/>
    <x v="1"/>
    <n v="0"/>
  </r>
  <r>
    <n v="33"/>
    <x v="1"/>
    <s v="Travel_Frequently"/>
    <n v="1303"/>
    <x v="1"/>
    <n v="7"/>
    <n v="2"/>
    <s v="Life Sciences"/>
    <n v="1970"/>
    <n v="4"/>
    <s v="Male"/>
    <n v="36"/>
    <n v="3"/>
    <n v="2"/>
    <x v="4"/>
    <n v="3"/>
    <s v="Divorced"/>
    <n v="5968"/>
    <n v="18079"/>
    <n v="1"/>
    <s v="No"/>
    <n v="20"/>
    <n v="4"/>
    <n v="3"/>
    <n v="3"/>
    <n v="9"/>
    <n v="2"/>
    <n v="3"/>
    <n v="9"/>
    <n v="7"/>
    <n v="2"/>
    <n v="8"/>
    <x v="1"/>
    <n v="53712"/>
    <x v="1"/>
    <n v="0"/>
  </r>
  <r>
    <n v="43"/>
    <x v="1"/>
    <s v="Travel_Rarely"/>
    <n v="574"/>
    <x v="1"/>
    <n v="11"/>
    <n v="3"/>
    <s v="Life Sciences"/>
    <n v="1971"/>
    <n v="1"/>
    <s v="Male"/>
    <n v="30"/>
    <n v="3"/>
    <n v="3"/>
    <x v="4"/>
    <n v="3"/>
    <s v="Married"/>
    <n v="7510"/>
    <n v="16873"/>
    <n v="1"/>
    <s v="No"/>
    <n v="17"/>
    <n v="3"/>
    <n v="2"/>
    <n v="1"/>
    <n v="10"/>
    <n v="1"/>
    <n v="3"/>
    <n v="10"/>
    <n v="9"/>
    <n v="0"/>
    <n v="9"/>
    <x v="1"/>
    <n v="67590"/>
    <x v="1"/>
    <n v="0"/>
  </r>
  <r>
    <n v="38"/>
    <x v="1"/>
    <s v="Travel_Frequently"/>
    <n v="1444"/>
    <x v="2"/>
    <n v="1"/>
    <n v="4"/>
    <s v="Other"/>
    <n v="1972"/>
    <n v="4"/>
    <s v="Male"/>
    <n v="88"/>
    <n v="3"/>
    <n v="1"/>
    <x v="8"/>
    <n v="2"/>
    <s v="Married"/>
    <n v="2991"/>
    <n v="5224"/>
    <n v="0"/>
    <s v="Yes"/>
    <n v="11"/>
    <n v="3"/>
    <n v="2"/>
    <n v="1"/>
    <n v="7"/>
    <n v="2"/>
    <n v="3"/>
    <n v="6"/>
    <n v="2"/>
    <n v="1"/>
    <n v="2"/>
    <x v="0"/>
    <n v="26919"/>
    <x v="0"/>
    <n v="0"/>
  </r>
  <r>
    <n v="55"/>
    <x v="1"/>
    <s v="Travel_Rarely"/>
    <n v="189"/>
    <x v="2"/>
    <n v="26"/>
    <n v="4"/>
    <s v="Human Resources"/>
    <n v="1973"/>
    <n v="3"/>
    <s v="Male"/>
    <n v="71"/>
    <n v="4"/>
    <n v="5"/>
    <x v="5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  <x v="1"/>
    <n v="176724"/>
    <x v="0"/>
    <n v="0"/>
  </r>
  <r>
    <n v="31"/>
    <x v="1"/>
    <s v="Travel_Rarely"/>
    <n v="1276"/>
    <x v="1"/>
    <n v="2"/>
    <n v="1"/>
    <s v="Medical"/>
    <n v="1974"/>
    <n v="4"/>
    <s v="Female"/>
    <n v="59"/>
    <n v="1"/>
    <n v="1"/>
    <x v="2"/>
    <n v="4"/>
    <s v="Divorced"/>
    <n v="1129"/>
    <n v="17536"/>
    <n v="1"/>
    <s v="Yes"/>
    <n v="11"/>
    <n v="3"/>
    <n v="3"/>
    <n v="3"/>
    <n v="1"/>
    <n v="4"/>
    <n v="3"/>
    <n v="1"/>
    <n v="0"/>
    <n v="0"/>
    <n v="0"/>
    <x v="3"/>
    <n v="10161"/>
    <x v="0"/>
    <n v="0"/>
  </r>
  <r>
    <n v="39"/>
    <x v="1"/>
    <s v="Travel_Rarely"/>
    <n v="119"/>
    <x v="0"/>
    <n v="15"/>
    <n v="4"/>
    <s v="Marketing"/>
    <n v="1975"/>
    <n v="2"/>
    <s v="Male"/>
    <n v="77"/>
    <n v="3"/>
    <n v="4"/>
    <x v="0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  <x v="1"/>
    <n v="120069"/>
    <x v="0"/>
    <n v="0"/>
  </r>
  <r>
    <n v="42"/>
    <x v="1"/>
    <s v="Non-Travel"/>
    <n v="335"/>
    <x v="1"/>
    <n v="23"/>
    <n v="2"/>
    <s v="Life Sciences"/>
    <n v="1976"/>
    <n v="4"/>
    <s v="Male"/>
    <n v="37"/>
    <n v="2"/>
    <n v="2"/>
    <x v="1"/>
    <n v="3"/>
    <s v="Single"/>
    <n v="4332"/>
    <n v="14811"/>
    <n v="1"/>
    <s v="No"/>
    <n v="12"/>
    <n v="3"/>
    <n v="4"/>
    <n v="0"/>
    <n v="20"/>
    <n v="2"/>
    <n v="3"/>
    <n v="20"/>
    <n v="9"/>
    <n v="3"/>
    <n v="7"/>
    <x v="1"/>
    <n v="38988"/>
    <x v="1"/>
    <n v="0"/>
  </r>
  <r>
    <n v="31"/>
    <x v="1"/>
    <s v="Non-Travel"/>
    <n v="697"/>
    <x v="1"/>
    <n v="10"/>
    <n v="3"/>
    <s v="Medical"/>
    <n v="1979"/>
    <n v="3"/>
    <s v="Female"/>
    <n v="40"/>
    <n v="3"/>
    <n v="3"/>
    <x v="7"/>
    <n v="3"/>
    <s v="Married"/>
    <n v="11031"/>
    <n v="26862"/>
    <n v="4"/>
    <s v="No"/>
    <n v="20"/>
    <n v="4"/>
    <n v="3"/>
    <n v="1"/>
    <n v="13"/>
    <n v="2"/>
    <n v="4"/>
    <n v="11"/>
    <n v="7"/>
    <n v="4"/>
    <n v="8"/>
    <x v="1"/>
    <n v="99279"/>
    <x v="1"/>
    <n v="0"/>
  </r>
  <r>
    <n v="54"/>
    <x v="1"/>
    <s v="Travel_Rarely"/>
    <n v="157"/>
    <x v="1"/>
    <n v="10"/>
    <n v="3"/>
    <s v="Medical"/>
    <n v="1980"/>
    <n v="3"/>
    <s v="Female"/>
    <n v="77"/>
    <n v="3"/>
    <n v="2"/>
    <x v="3"/>
    <n v="1"/>
    <s v="Single"/>
    <n v="4440"/>
    <n v="25198"/>
    <n v="6"/>
    <s v="Yes"/>
    <n v="19"/>
    <n v="3"/>
    <n v="4"/>
    <n v="0"/>
    <n v="9"/>
    <n v="3"/>
    <n v="3"/>
    <n v="5"/>
    <n v="2"/>
    <n v="1"/>
    <n v="4"/>
    <x v="0"/>
    <n v="39960"/>
    <x v="0"/>
    <n v="0"/>
  </r>
  <r>
    <n v="24"/>
    <x v="1"/>
    <s v="Travel_Rarely"/>
    <n v="771"/>
    <x v="1"/>
    <n v="1"/>
    <n v="2"/>
    <s v="Life Sciences"/>
    <n v="1981"/>
    <n v="2"/>
    <s v="Male"/>
    <n v="45"/>
    <n v="2"/>
    <n v="2"/>
    <x v="4"/>
    <n v="3"/>
    <s v="Single"/>
    <n v="4617"/>
    <n v="14120"/>
    <n v="1"/>
    <s v="No"/>
    <n v="12"/>
    <n v="3"/>
    <n v="2"/>
    <n v="0"/>
    <n v="4"/>
    <n v="2"/>
    <n v="2"/>
    <n v="4"/>
    <n v="3"/>
    <n v="1"/>
    <n v="2"/>
    <x v="0"/>
    <n v="41553"/>
    <x v="1"/>
    <n v="0"/>
  </r>
  <r>
    <n v="23"/>
    <x v="1"/>
    <s v="Travel_Rarely"/>
    <n v="571"/>
    <x v="1"/>
    <n v="12"/>
    <n v="2"/>
    <s v="Other"/>
    <n v="1982"/>
    <n v="4"/>
    <s v="Male"/>
    <n v="78"/>
    <n v="3"/>
    <n v="1"/>
    <x v="2"/>
    <n v="4"/>
    <s v="Single"/>
    <n v="2647"/>
    <n v="13672"/>
    <n v="1"/>
    <s v="No"/>
    <n v="13"/>
    <n v="3"/>
    <n v="3"/>
    <n v="0"/>
    <n v="5"/>
    <n v="6"/>
    <n v="4"/>
    <n v="5"/>
    <n v="2"/>
    <n v="1"/>
    <n v="4"/>
    <x v="0"/>
    <n v="23823"/>
    <x v="1"/>
    <n v="0"/>
  </r>
  <r>
    <n v="40"/>
    <x v="1"/>
    <s v="Travel_Frequently"/>
    <n v="692"/>
    <x v="1"/>
    <n v="11"/>
    <n v="3"/>
    <s v="Technical Degree"/>
    <n v="1985"/>
    <n v="4"/>
    <s v="Female"/>
    <n v="73"/>
    <n v="3"/>
    <n v="2"/>
    <x v="2"/>
    <n v="3"/>
    <s v="Married"/>
    <n v="6323"/>
    <n v="26849"/>
    <n v="1"/>
    <s v="No"/>
    <n v="11"/>
    <n v="3"/>
    <n v="1"/>
    <n v="1"/>
    <n v="10"/>
    <n v="2"/>
    <n v="4"/>
    <n v="10"/>
    <n v="9"/>
    <n v="9"/>
    <n v="4"/>
    <x v="1"/>
    <n v="56907"/>
    <x v="1"/>
    <n v="0"/>
  </r>
  <r>
    <n v="40"/>
    <x v="1"/>
    <s v="Travel_Rarely"/>
    <n v="444"/>
    <x v="0"/>
    <n v="2"/>
    <n v="2"/>
    <s v="Marketing"/>
    <n v="1986"/>
    <n v="2"/>
    <s v="Female"/>
    <n v="92"/>
    <n v="3"/>
    <n v="2"/>
    <x v="0"/>
    <n v="2"/>
    <s v="Married"/>
    <n v="5677"/>
    <n v="4258"/>
    <n v="3"/>
    <s v="No"/>
    <n v="14"/>
    <n v="3"/>
    <n v="3"/>
    <n v="1"/>
    <n v="15"/>
    <n v="4"/>
    <n v="3"/>
    <n v="11"/>
    <n v="8"/>
    <n v="5"/>
    <n v="10"/>
    <x v="1"/>
    <n v="51093"/>
    <x v="0"/>
    <n v="0"/>
  </r>
  <r>
    <n v="25"/>
    <x v="1"/>
    <s v="Travel_Rarely"/>
    <n v="309"/>
    <x v="2"/>
    <n v="2"/>
    <n v="3"/>
    <s v="Human Resources"/>
    <n v="1987"/>
    <n v="3"/>
    <s v="Female"/>
    <n v="82"/>
    <n v="3"/>
    <n v="1"/>
    <x v="8"/>
    <n v="2"/>
    <s v="Married"/>
    <n v="2187"/>
    <n v="19655"/>
    <n v="4"/>
    <s v="No"/>
    <n v="14"/>
    <n v="3"/>
    <n v="3"/>
    <n v="0"/>
    <n v="6"/>
    <n v="3"/>
    <n v="3"/>
    <n v="2"/>
    <n v="0"/>
    <n v="1"/>
    <n v="2"/>
    <x v="3"/>
    <n v="19683"/>
    <x v="0"/>
    <n v="0"/>
  </r>
  <r>
    <n v="30"/>
    <x v="1"/>
    <s v="Travel_Rarely"/>
    <n v="911"/>
    <x v="1"/>
    <n v="1"/>
    <n v="2"/>
    <s v="Medical"/>
    <n v="1989"/>
    <n v="4"/>
    <s v="Male"/>
    <n v="76"/>
    <n v="3"/>
    <n v="1"/>
    <x v="2"/>
    <n v="2"/>
    <s v="Married"/>
    <n v="3748"/>
    <n v="4077"/>
    <n v="1"/>
    <s v="No"/>
    <n v="13"/>
    <n v="3"/>
    <n v="3"/>
    <n v="0"/>
    <n v="12"/>
    <n v="6"/>
    <n v="2"/>
    <n v="12"/>
    <n v="8"/>
    <n v="1"/>
    <n v="7"/>
    <x v="1"/>
    <n v="33732"/>
    <x v="0"/>
    <n v="0"/>
  </r>
  <r>
    <n v="25"/>
    <x v="1"/>
    <s v="Travel_Rarely"/>
    <n v="977"/>
    <x v="1"/>
    <n v="2"/>
    <n v="1"/>
    <s v="Other"/>
    <n v="1992"/>
    <n v="4"/>
    <s v="Male"/>
    <n v="57"/>
    <n v="3"/>
    <n v="1"/>
    <x v="2"/>
    <n v="3"/>
    <s v="Divorced"/>
    <n v="3977"/>
    <n v="7298"/>
    <n v="6"/>
    <s v="Yes"/>
    <n v="19"/>
    <n v="3"/>
    <n v="3"/>
    <n v="1"/>
    <n v="7"/>
    <n v="2"/>
    <n v="2"/>
    <n v="2"/>
    <n v="2"/>
    <n v="0"/>
    <n v="2"/>
    <x v="3"/>
    <n v="35793"/>
    <x v="0"/>
    <n v="0"/>
  </r>
  <r>
    <n v="47"/>
    <x v="1"/>
    <s v="Travel_Rarely"/>
    <n v="1180"/>
    <x v="1"/>
    <n v="25"/>
    <n v="3"/>
    <s v="Medical"/>
    <n v="1993"/>
    <n v="1"/>
    <s v="Male"/>
    <n v="84"/>
    <n v="3"/>
    <n v="3"/>
    <x v="4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  <x v="1"/>
    <n v="77697"/>
    <x v="1"/>
    <n v="0"/>
  </r>
  <r>
    <n v="33"/>
    <x v="1"/>
    <s v="Non-Travel"/>
    <n v="1313"/>
    <x v="1"/>
    <n v="1"/>
    <n v="2"/>
    <s v="Medical"/>
    <n v="1994"/>
    <n v="2"/>
    <s v="Male"/>
    <n v="59"/>
    <n v="2"/>
    <n v="1"/>
    <x v="2"/>
    <n v="3"/>
    <s v="Divorced"/>
    <n v="2008"/>
    <n v="20439"/>
    <n v="1"/>
    <s v="No"/>
    <n v="12"/>
    <n v="3"/>
    <n v="3"/>
    <n v="3"/>
    <n v="1"/>
    <n v="2"/>
    <n v="2"/>
    <n v="1"/>
    <n v="1"/>
    <n v="0"/>
    <n v="0"/>
    <x v="3"/>
    <n v="18072"/>
    <x v="1"/>
    <n v="0"/>
  </r>
  <r>
    <n v="38"/>
    <x v="1"/>
    <s v="Travel_Rarely"/>
    <n v="1321"/>
    <x v="0"/>
    <n v="1"/>
    <n v="4"/>
    <s v="Life Sciences"/>
    <n v="1995"/>
    <n v="4"/>
    <s v="Male"/>
    <n v="86"/>
    <n v="3"/>
    <n v="2"/>
    <x v="0"/>
    <n v="2"/>
    <s v="Married"/>
    <n v="4440"/>
    <n v="7636"/>
    <n v="0"/>
    <s v="No"/>
    <n v="15"/>
    <n v="3"/>
    <n v="1"/>
    <n v="2"/>
    <n v="16"/>
    <n v="3"/>
    <n v="3"/>
    <n v="15"/>
    <n v="13"/>
    <n v="5"/>
    <n v="8"/>
    <x v="1"/>
    <n v="39960"/>
    <x v="0"/>
    <n v="0"/>
  </r>
  <r>
    <n v="31"/>
    <x v="1"/>
    <s v="Travel_Rarely"/>
    <n v="1154"/>
    <x v="0"/>
    <n v="2"/>
    <n v="2"/>
    <s v="Life Sciences"/>
    <n v="1996"/>
    <n v="1"/>
    <s v="Male"/>
    <n v="54"/>
    <n v="3"/>
    <n v="1"/>
    <x v="6"/>
    <n v="3"/>
    <s v="Married"/>
    <n v="3067"/>
    <n v="6393"/>
    <n v="0"/>
    <s v="No"/>
    <n v="19"/>
    <n v="3"/>
    <n v="3"/>
    <n v="1"/>
    <n v="3"/>
    <n v="1"/>
    <n v="3"/>
    <n v="2"/>
    <n v="2"/>
    <n v="1"/>
    <n v="2"/>
    <x v="3"/>
    <n v="27603"/>
    <x v="1"/>
    <n v="0"/>
  </r>
  <r>
    <n v="38"/>
    <x v="1"/>
    <s v="Travel_Frequently"/>
    <n v="508"/>
    <x v="1"/>
    <n v="6"/>
    <n v="4"/>
    <s v="Life Sciences"/>
    <n v="1997"/>
    <n v="1"/>
    <s v="Male"/>
    <n v="72"/>
    <n v="2"/>
    <n v="2"/>
    <x v="3"/>
    <n v="3"/>
    <s v="Married"/>
    <n v="5321"/>
    <n v="14284"/>
    <n v="2"/>
    <s v="No"/>
    <n v="11"/>
    <n v="3"/>
    <n v="4"/>
    <n v="1"/>
    <n v="10"/>
    <n v="1"/>
    <n v="3"/>
    <n v="8"/>
    <n v="3"/>
    <n v="7"/>
    <n v="7"/>
    <x v="1"/>
    <n v="47889"/>
    <x v="1"/>
    <n v="0"/>
  </r>
  <r>
    <n v="42"/>
    <x v="1"/>
    <s v="Travel_Rarely"/>
    <n v="557"/>
    <x v="1"/>
    <n v="18"/>
    <n v="4"/>
    <s v="Life Sciences"/>
    <n v="1998"/>
    <n v="4"/>
    <s v="Male"/>
    <n v="35"/>
    <n v="3"/>
    <n v="2"/>
    <x v="1"/>
    <n v="1"/>
    <s v="Divorced"/>
    <n v="5410"/>
    <n v="11189"/>
    <n v="6"/>
    <s v="Yes"/>
    <n v="17"/>
    <n v="3"/>
    <n v="3"/>
    <n v="1"/>
    <n v="9"/>
    <n v="3"/>
    <n v="2"/>
    <n v="4"/>
    <n v="3"/>
    <n v="1"/>
    <n v="2"/>
    <x v="0"/>
    <n v="48690"/>
    <x v="0"/>
    <n v="0"/>
  </r>
  <r>
    <n v="41"/>
    <x v="1"/>
    <s v="Travel_Rarely"/>
    <n v="642"/>
    <x v="1"/>
    <n v="1"/>
    <n v="3"/>
    <s v="Life Sciences"/>
    <n v="1999"/>
    <n v="4"/>
    <s v="Male"/>
    <n v="76"/>
    <n v="3"/>
    <n v="1"/>
    <x v="1"/>
    <n v="4"/>
    <s v="Married"/>
    <n v="2782"/>
    <n v="21412"/>
    <n v="3"/>
    <s v="No"/>
    <n v="22"/>
    <n v="4"/>
    <n v="1"/>
    <n v="1"/>
    <n v="12"/>
    <n v="3"/>
    <n v="3"/>
    <n v="5"/>
    <n v="3"/>
    <n v="1"/>
    <n v="0"/>
    <x v="0"/>
    <n v="25038"/>
    <x v="1"/>
    <n v="0"/>
  </r>
  <r>
    <n v="47"/>
    <x v="1"/>
    <s v="Non-Travel"/>
    <n v="1162"/>
    <x v="1"/>
    <n v="1"/>
    <n v="1"/>
    <s v="Medical"/>
    <n v="2000"/>
    <n v="3"/>
    <s v="Female"/>
    <n v="98"/>
    <n v="3"/>
    <n v="3"/>
    <x v="7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  <x v="1"/>
    <n v="107613"/>
    <x v="0"/>
    <n v="0"/>
  </r>
  <r>
    <n v="35"/>
    <x v="1"/>
    <s v="Travel_Rarely"/>
    <n v="1490"/>
    <x v="1"/>
    <n v="11"/>
    <n v="4"/>
    <s v="Medical"/>
    <n v="2003"/>
    <n v="4"/>
    <s v="Male"/>
    <n v="43"/>
    <n v="3"/>
    <n v="1"/>
    <x v="2"/>
    <n v="3"/>
    <s v="Married"/>
    <n v="2660"/>
    <n v="20232"/>
    <n v="7"/>
    <s v="Yes"/>
    <n v="11"/>
    <n v="3"/>
    <n v="3"/>
    <n v="1"/>
    <n v="5"/>
    <n v="3"/>
    <n v="3"/>
    <n v="2"/>
    <n v="2"/>
    <n v="2"/>
    <n v="2"/>
    <x v="3"/>
    <n v="23940"/>
    <x v="0"/>
    <n v="0"/>
  </r>
  <r>
    <n v="22"/>
    <x v="1"/>
    <s v="Travel_Rarely"/>
    <n v="581"/>
    <x v="1"/>
    <n v="1"/>
    <n v="2"/>
    <s v="Life Sciences"/>
    <n v="2007"/>
    <n v="4"/>
    <s v="Male"/>
    <n v="63"/>
    <n v="3"/>
    <n v="1"/>
    <x v="1"/>
    <n v="3"/>
    <s v="Single"/>
    <n v="3375"/>
    <n v="17624"/>
    <n v="0"/>
    <s v="No"/>
    <n v="12"/>
    <n v="3"/>
    <n v="4"/>
    <n v="0"/>
    <n v="4"/>
    <n v="2"/>
    <n v="4"/>
    <n v="3"/>
    <n v="2"/>
    <n v="1"/>
    <n v="2"/>
    <x v="3"/>
    <n v="30375"/>
    <x v="1"/>
    <n v="0"/>
  </r>
  <r>
    <n v="35"/>
    <x v="1"/>
    <s v="Travel_Rarely"/>
    <n v="1395"/>
    <x v="1"/>
    <n v="9"/>
    <n v="4"/>
    <s v="Medical"/>
    <n v="2008"/>
    <n v="2"/>
    <s v="Male"/>
    <n v="48"/>
    <n v="3"/>
    <n v="2"/>
    <x v="1"/>
    <n v="3"/>
    <s v="Single"/>
    <n v="5098"/>
    <n v="18698"/>
    <n v="1"/>
    <s v="No"/>
    <n v="19"/>
    <n v="3"/>
    <n v="2"/>
    <n v="0"/>
    <n v="10"/>
    <n v="5"/>
    <n v="3"/>
    <n v="10"/>
    <n v="7"/>
    <n v="0"/>
    <n v="8"/>
    <x v="1"/>
    <n v="45882"/>
    <x v="1"/>
    <n v="0"/>
  </r>
  <r>
    <n v="33"/>
    <x v="1"/>
    <s v="Travel_Rarely"/>
    <n v="501"/>
    <x v="1"/>
    <n v="15"/>
    <n v="2"/>
    <s v="Medical"/>
    <n v="2009"/>
    <n v="2"/>
    <s v="Female"/>
    <n v="95"/>
    <n v="3"/>
    <n v="2"/>
    <x v="4"/>
    <n v="4"/>
    <s v="Married"/>
    <n v="4878"/>
    <n v="21653"/>
    <n v="0"/>
    <s v="Yes"/>
    <n v="13"/>
    <n v="3"/>
    <n v="1"/>
    <n v="1"/>
    <n v="10"/>
    <n v="6"/>
    <n v="3"/>
    <n v="9"/>
    <n v="7"/>
    <n v="8"/>
    <n v="1"/>
    <x v="1"/>
    <n v="43902"/>
    <x v="0"/>
    <n v="0"/>
  </r>
  <r>
    <n v="32"/>
    <x v="1"/>
    <s v="Travel_Rarely"/>
    <n v="267"/>
    <x v="1"/>
    <n v="29"/>
    <n v="4"/>
    <s v="Life Sciences"/>
    <n v="2010"/>
    <n v="3"/>
    <s v="Female"/>
    <n v="49"/>
    <n v="2"/>
    <n v="1"/>
    <x v="2"/>
    <n v="2"/>
    <s v="Single"/>
    <n v="2837"/>
    <n v="15919"/>
    <n v="1"/>
    <s v="No"/>
    <n v="13"/>
    <n v="3"/>
    <n v="3"/>
    <n v="0"/>
    <n v="6"/>
    <n v="3"/>
    <n v="3"/>
    <n v="6"/>
    <n v="2"/>
    <n v="4"/>
    <n v="1"/>
    <x v="0"/>
    <n v="25533"/>
    <x v="0"/>
    <n v="0"/>
  </r>
  <r>
    <n v="40"/>
    <x v="1"/>
    <s v="Travel_Rarely"/>
    <n v="543"/>
    <x v="1"/>
    <n v="1"/>
    <n v="4"/>
    <s v="Life Sciences"/>
    <n v="2012"/>
    <n v="1"/>
    <s v="Male"/>
    <n v="83"/>
    <n v="3"/>
    <n v="1"/>
    <x v="2"/>
    <n v="4"/>
    <s v="Married"/>
    <n v="2406"/>
    <n v="4060"/>
    <n v="8"/>
    <s v="No"/>
    <n v="19"/>
    <n v="3"/>
    <n v="3"/>
    <n v="2"/>
    <n v="8"/>
    <n v="3"/>
    <n v="2"/>
    <n v="1"/>
    <n v="0"/>
    <n v="0"/>
    <n v="0"/>
    <x v="3"/>
    <n v="21654"/>
    <x v="1"/>
    <n v="0"/>
  </r>
  <r>
    <n v="32"/>
    <x v="1"/>
    <s v="Travel_Rarely"/>
    <n v="234"/>
    <x v="0"/>
    <n v="1"/>
    <n v="4"/>
    <s v="Medical"/>
    <n v="2013"/>
    <n v="2"/>
    <s v="Male"/>
    <n v="68"/>
    <n v="2"/>
    <n v="1"/>
    <x v="6"/>
    <n v="2"/>
    <s v="Married"/>
    <n v="2269"/>
    <n v="18024"/>
    <n v="0"/>
    <s v="No"/>
    <n v="14"/>
    <n v="3"/>
    <n v="2"/>
    <n v="1"/>
    <n v="3"/>
    <n v="2"/>
    <n v="3"/>
    <n v="2"/>
    <n v="2"/>
    <n v="2"/>
    <n v="2"/>
    <x v="3"/>
    <n v="20421"/>
    <x v="0"/>
    <n v="0"/>
  </r>
  <r>
    <n v="39"/>
    <x v="1"/>
    <s v="Travel_Rarely"/>
    <n v="116"/>
    <x v="1"/>
    <n v="24"/>
    <n v="1"/>
    <s v="Life Sciences"/>
    <n v="2014"/>
    <n v="1"/>
    <s v="Male"/>
    <n v="52"/>
    <n v="3"/>
    <n v="2"/>
    <x v="1"/>
    <n v="4"/>
    <s v="Single"/>
    <n v="4108"/>
    <n v="5340"/>
    <n v="7"/>
    <s v="No"/>
    <n v="13"/>
    <n v="3"/>
    <n v="1"/>
    <n v="0"/>
    <n v="18"/>
    <n v="2"/>
    <n v="3"/>
    <n v="7"/>
    <n v="7"/>
    <n v="1"/>
    <n v="7"/>
    <x v="1"/>
    <n v="36972"/>
    <x v="1"/>
    <n v="0"/>
  </r>
  <r>
    <n v="38"/>
    <x v="1"/>
    <s v="Travel_Rarely"/>
    <n v="201"/>
    <x v="1"/>
    <n v="10"/>
    <n v="3"/>
    <s v="Medical"/>
    <n v="2015"/>
    <n v="2"/>
    <s v="Female"/>
    <n v="99"/>
    <n v="1"/>
    <n v="3"/>
    <x v="7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  <x v="1"/>
    <n v="118854"/>
    <x v="1"/>
    <n v="0"/>
  </r>
  <r>
    <n v="32"/>
    <x v="1"/>
    <s v="Travel_Rarely"/>
    <n v="801"/>
    <x v="0"/>
    <n v="1"/>
    <n v="4"/>
    <s v="Marketing"/>
    <n v="2016"/>
    <n v="3"/>
    <s v="Female"/>
    <n v="48"/>
    <n v="3"/>
    <n v="3"/>
    <x v="0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  <x v="1"/>
    <n v="93798"/>
    <x v="1"/>
    <n v="0"/>
  </r>
  <r>
    <n v="37"/>
    <x v="1"/>
    <s v="Travel_Rarely"/>
    <n v="161"/>
    <x v="1"/>
    <n v="10"/>
    <n v="3"/>
    <s v="Life Sciences"/>
    <n v="2017"/>
    <n v="3"/>
    <s v="Female"/>
    <n v="42"/>
    <n v="4"/>
    <n v="3"/>
    <x v="7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  <x v="1"/>
    <n v="123696"/>
    <x v="0"/>
    <n v="0"/>
  </r>
  <r>
    <n v="25"/>
    <x v="1"/>
    <s v="Travel_Rarely"/>
    <n v="1382"/>
    <x v="0"/>
    <n v="8"/>
    <n v="2"/>
    <s v="Other"/>
    <n v="2018"/>
    <n v="1"/>
    <s v="Female"/>
    <n v="85"/>
    <n v="3"/>
    <n v="2"/>
    <x v="0"/>
    <n v="3"/>
    <s v="Divorced"/>
    <n v="4907"/>
    <n v="13684"/>
    <n v="0"/>
    <s v="Yes"/>
    <n v="22"/>
    <n v="4"/>
    <n v="2"/>
    <n v="1"/>
    <n v="6"/>
    <n v="3"/>
    <n v="2"/>
    <n v="5"/>
    <n v="3"/>
    <n v="0"/>
    <n v="4"/>
    <x v="0"/>
    <n v="44163"/>
    <x v="0"/>
    <n v="0"/>
  </r>
  <r>
    <n v="52"/>
    <x v="1"/>
    <s v="Non-Travel"/>
    <n v="585"/>
    <x v="0"/>
    <n v="29"/>
    <n v="4"/>
    <s v="Life Sciences"/>
    <n v="2019"/>
    <n v="1"/>
    <s v="Male"/>
    <n v="40"/>
    <n v="3"/>
    <n v="1"/>
    <x v="6"/>
    <n v="4"/>
    <s v="Divorced"/>
    <n v="3482"/>
    <n v="19788"/>
    <n v="2"/>
    <s v="No"/>
    <n v="15"/>
    <n v="3"/>
    <n v="2"/>
    <n v="2"/>
    <n v="16"/>
    <n v="3"/>
    <n v="2"/>
    <n v="9"/>
    <n v="8"/>
    <n v="0"/>
    <n v="0"/>
    <x v="1"/>
    <n v="31338"/>
    <x v="1"/>
    <n v="0"/>
  </r>
  <r>
    <n v="44"/>
    <x v="1"/>
    <s v="Travel_Rarely"/>
    <n v="1037"/>
    <x v="1"/>
    <n v="1"/>
    <n v="3"/>
    <s v="Medical"/>
    <n v="2020"/>
    <n v="2"/>
    <s v="Male"/>
    <n v="42"/>
    <n v="3"/>
    <n v="1"/>
    <x v="1"/>
    <n v="4"/>
    <s v="Single"/>
    <n v="2436"/>
    <n v="13422"/>
    <n v="6"/>
    <s v="Yes"/>
    <n v="12"/>
    <n v="3"/>
    <n v="3"/>
    <n v="0"/>
    <n v="6"/>
    <n v="2"/>
    <n v="3"/>
    <n v="4"/>
    <n v="3"/>
    <n v="1"/>
    <n v="2"/>
    <x v="0"/>
    <n v="21924"/>
    <x v="0"/>
    <n v="0"/>
  </r>
  <r>
    <n v="21"/>
    <x v="1"/>
    <s v="Travel_Rarely"/>
    <n v="501"/>
    <x v="0"/>
    <n v="5"/>
    <n v="1"/>
    <s v="Medical"/>
    <n v="2021"/>
    <n v="3"/>
    <s v="Male"/>
    <n v="58"/>
    <n v="3"/>
    <n v="1"/>
    <x v="6"/>
    <n v="1"/>
    <s v="Single"/>
    <n v="2380"/>
    <n v="25479"/>
    <n v="1"/>
    <s v="Yes"/>
    <n v="11"/>
    <n v="3"/>
    <n v="4"/>
    <n v="0"/>
    <n v="2"/>
    <n v="6"/>
    <n v="3"/>
    <n v="2"/>
    <n v="2"/>
    <n v="1"/>
    <n v="2"/>
    <x v="3"/>
    <n v="21420"/>
    <x v="2"/>
    <n v="0"/>
  </r>
  <r>
    <n v="39"/>
    <x v="1"/>
    <s v="Non-Travel"/>
    <n v="105"/>
    <x v="1"/>
    <n v="9"/>
    <n v="3"/>
    <s v="Life Sciences"/>
    <n v="2022"/>
    <n v="4"/>
    <s v="Male"/>
    <n v="87"/>
    <n v="3"/>
    <n v="5"/>
    <x v="5"/>
    <n v="4"/>
    <s v="Single"/>
    <n v="19431"/>
    <n v="15302"/>
    <n v="2"/>
    <s v="No"/>
    <n v="13"/>
    <n v="3"/>
    <n v="3"/>
    <n v="0"/>
    <n v="21"/>
    <n v="3"/>
    <n v="2"/>
    <n v="6"/>
    <n v="0"/>
    <n v="1"/>
    <n v="3"/>
    <x v="0"/>
    <n v="174879"/>
    <x v="1"/>
    <n v="0"/>
  </r>
  <r>
    <n v="23"/>
    <x v="0"/>
    <s v="Travel_Frequently"/>
    <n v="638"/>
    <x v="0"/>
    <n v="9"/>
    <n v="3"/>
    <s v="Marketing"/>
    <n v="2023"/>
    <n v="4"/>
    <s v="Male"/>
    <n v="33"/>
    <n v="3"/>
    <n v="1"/>
    <x v="6"/>
    <n v="1"/>
    <s v="Married"/>
    <n v="1790"/>
    <n v="26956"/>
    <n v="1"/>
    <s v="No"/>
    <n v="19"/>
    <n v="3"/>
    <n v="1"/>
    <n v="1"/>
    <n v="1"/>
    <n v="3"/>
    <n v="2"/>
    <n v="1"/>
    <n v="0"/>
    <n v="1"/>
    <n v="0"/>
    <x v="3"/>
    <n v="16110"/>
    <x v="0"/>
    <n v="16110"/>
  </r>
  <r>
    <n v="36"/>
    <x v="1"/>
    <s v="Travel_Rarely"/>
    <n v="557"/>
    <x v="0"/>
    <n v="3"/>
    <n v="3"/>
    <s v="Medical"/>
    <n v="2024"/>
    <n v="1"/>
    <s v="Female"/>
    <n v="94"/>
    <n v="2"/>
    <n v="3"/>
    <x v="0"/>
    <n v="4"/>
    <s v="Married"/>
    <n v="7644"/>
    <n v="12695"/>
    <n v="0"/>
    <s v="No"/>
    <n v="19"/>
    <n v="3"/>
    <n v="3"/>
    <n v="2"/>
    <n v="10"/>
    <n v="2"/>
    <n v="3"/>
    <n v="9"/>
    <n v="7"/>
    <n v="3"/>
    <n v="4"/>
    <x v="1"/>
    <n v="68796"/>
    <x v="1"/>
    <n v="0"/>
  </r>
  <r>
    <n v="36"/>
    <x v="1"/>
    <s v="Travel_Frequently"/>
    <n v="688"/>
    <x v="1"/>
    <n v="4"/>
    <n v="2"/>
    <s v="Life Sciences"/>
    <n v="2025"/>
    <n v="4"/>
    <s v="Female"/>
    <n v="97"/>
    <n v="3"/>
    <n v="2"/>
    <x v="3"/>
    <n v="2"/>
    <s v="Divorced"/>
    <n v="5131"/>
    <n v="9192"/>
    <n v="7"/>
    <s v="No"/>
    <n v="13"/>
    <n v="3"/>
    <n v="2"/>
    <n v="3"/>
    <n v="18"/>
    <n v="3"/>
    <n v="3"/>
    <n v="4"/>
    <n v="2"/>
    <n v="0"/>
    <n v="2"/>
    <x v="0"/>
    <n v="46179"/>
    <x v="0"/>
    <n v="0"/>
  </r>
  <r>
    <n v="56"/>
    <x v="1"/>
    <s v="Non-Travel"/>
    <n v="667"/>
    <x v="1"/>
    <n v="1"/>
    <n v="4"/>
    <s v="Life Sciences"/>
    <n v="2026"/>
    <n v="3"/>
    <s v="Male"/>
    <n v="57"/>
    <n v="3"/>
    <n v="2"/>
    <x v="4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  <x v="1"/>
    <n v="56754"/>
    <x v="1"/>
    <n v="0"/>
  </r>
  <r>
    <n v="29"/>
    <x v="0"/>
    <s v="Travel_Rarely"/>
    <n v="1092"/>
    <x v="1"/>
    <n v="1"/>
    <n v="4"/>
    <s v="Medical"/>
    <n v="2027"/>
    <n v="1"/>
    <s v="Male"/>
    <n v="36"/>
    <n v="3"/>
    <n v="1"/>
    <x v="1"/>
    <n v="4"/>
    <s v="Married"/>
    <n v="4787"/>
    <n v="26124"/>
    <n v="9"/>
    <s v="Yes"/>
    <n v="14"/>
    <n v="3"/>
    <n v="2"/>
    <n v="3"/>
    <n v="4"/>
    <n v="3"/>
    <n v="4"/>
    <n v="2"/>
    <n v="2"/>
    <n v="2"/>
    <n v="2"/>
    <x v="3"/>
    <n v="43083"/>
    <x v="0"/>
    <n v="43083"/>
  </r>
  <r>
    <n v="42"/>
    <x v="1"/>
    <s v="Travel_Rarely"/>
    <n v="300"/>
    <x v="1"/>
    <n v="2"/>
    <n v="3"/>
    <s v="Life Sciences"/>
    <n v="2031"/>
    <n v="1"/>
    <s v="Male"/>
    <n v="56"/>
    <n v="3"/>
    <n v="5"/>
    <x v="5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  <x v="1"/>
    <n v="169920"/>
    <x v="1"/>
    <n v="0"/>
  </r>
  <r>
    <n v="56"/>
    <x v="0"/>
    <s v="Travel_Rarely"/>
    <n v="310"/>
    <x v="1"/>
    <n v="7"/>
    <n v="2"/>
    <s v="Technical Degree"/>
    <n v="2032"/>
    <n v="4"/>
    <s v="Male"/>
    <n v="72"/>
    <n v="3"/>
    <n v="1"/>
    <x v="2"/>
    <n v="3"/>
    <s v="Married"/>
    <n v="2339"/>
    <n v="3666"/>
    <n v="8"/>
    <s v="No"/>
    <n v="11"/>
    <n v="3"/>
    <n v="4"/>
    <n v="1"/>
    <n v="14"/>
    <n v="4"/>
    <n v="1"/>
    <n v="10"/>
    <n v="9"/>
    <n v="9"/>
    <n v="8"/>
    <x v="1"/>
    <n v="21051"/>
    <x v="1"/>
    <n v="21051"/>
  </r>
  <r>
    <n v="41"/>
    <x v="1"/>
    <s v="Travel_Rarely"/>
    <n v="582"/>
    <x v="1"/>
    <n v="28"/>
    <n v="4"/>
    <s v="Life Sciences"/>
    <n v="2034"/>
    <n v="1"/>
    <s v="Female"/>
    <n v="60"/>
    <n v="2"/>
    <n v="4"/>
    <x v="3"/>
    <n v="2"/>
    <s v="Married"/>
    <n v="13570"/>
    <n v="5640"/>
    <n v="0"/>
    <s v="No"/>
    <n v="23"/>
    <n v="4"/>
    <n v="3"/>
    <n v="1"/>
    <n v="21"/>
    <n v="3"/>
    <n v="3"/>
    <n v="20"/>
    <n v="7"/>
    <n v="0"/>
    <n v="10"/>
    <x v="1"/>
    <n v="122130"/>
    <x v="0"/>
    <n v="0"/>
  </r>
  <r>
    <n v="34"/>
    <x v="1"/>
    <s v="Travel_Rarely"/>
    <n v="704"/>
    <x v="0"/>
    <n v="28"/>
    <n v="3"/>
    <s v="Marketing"/>
    <n v="2035"/>
    <n v="4"/>
    <s v="Female"/>
    <n v="95"/>
    <n v="2"/>
    <n v="2"/>
    <x v="0"/>
    <n v="3"/>
    <s v="Married"/>
    <n v="6712"/>
    <n v="8978"/>
    <n v="1"/>
    <s v="No"/>
    <n v="21"/>
    <n v="4"/>
    <n v="4"/>
    <n v="2"/>
    <n v="8"/>
    <n v="2"/>
    <n v="3"/>
    <n v="8"/>
    <n v="7"/>
    <n v="1"/>
    <n v="7"/>
    <x v="1"/>
    <n v="60408"/>
    <x v="1"/>
    <n v="0"/>
  </r>
  <r>
    <n v="36"/>
    <x v="1"/>
    <s v="Non-Travel"/>
    <n v="301"/>
    <x v="0"/>
    <n v="15"/>
    <n v="4"/>
    <s v="Marketing"/>
    <n v="2036"/>
    <n v="4"/>
    <s v="Male"/>
    <n v="88"/>
    <n v="1"/>
    <n v="2"/>
    <x v="0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  <x v="1"/>
    <n v="48654"/>
    <x v="1"/>
    <n v="0"/>
  </r>
  <r>
    <n v="41"/>
    <x v="1"/>
    <s v="Travel_Rarely"/>
    <n v="930"/>
    <x v="0"/>
    <n v="3"/>
    <n v="3"/>
    <s v="Life Sciences"/>
    <n v="2037"/>
    <n v="3"/>
    <s v="Male"/>
    <n v="57"/>
    <n v="2"/>
    <n v="2"/>
    <x v="0"/>
    <n v="2"/>
    <s v="Divorced"/>
    <n v="8938"/>
    <n v="12227"/>
    <n v="2"/>
    <s v="No"/>
    <n v="11"/>
    <n v="3"/>
    <n v="3"/>
    <n v="1"/>
    <n v="14"/>
    <n v="5"/>
    <n v="3"/>
    <n v="5"/>
    <n v="4"/>
    <n v="0"/>
    <n v="4"/>
    <x v="0"/>
    <n v="80442"/>
    <x v="0"/>
    <n v="0"/>
  </r>
  <r>
    <n v="32"/>
    <x v="1"/>
    <s v="Travel_Rarely"/>
    <n v="529"/>
    <x v="1"/>
    <n v="2"/>
    <n v="3"/>
    <s v="Technical Degree"/>
    <n v="2038"/>
    <n v="4"/>
    <s v="Male"/>
    <n v="78"/>
    <n v="3"/>
    <n v="1"/>
    <x v="1"/>
    <n v="1"/>
    <s v="Single"/>
    <n v="2439"/>
    <n v="11288"/>
    <n v="1"/>
    <s v="No"/>
    <n v="14"/>
    <n v="3"/>
    <n v="4"/>
    <n v="0"/>
    <n v="4"/>
    <n v="4"/>
    <n v="3"/>
    <n v="4"/>
    <n v="2"/>
    <n v="1"/>
    <n v="2"/>
    <x v="0"/>
    <n v="21951"/>
    <x v="0"/>
    <n v="0"/>
  </r>
  <r>
    <n v="35"/>
    <x v="1"/>
    <s v="Travel_Rarely"/>
    <n v="1146"/>
    <x v="2"/>
    <n v="26"/>
    <n v="4"/>
    <s v="Life Sciences"/>
    <n v="2040"/>
    <n v="3"/>
    <s v="Female"/>
    <n v="31"/>
    <n v="3"/>
    <n v="3"/>
    <x v="8"/>
    <n v="4"/>
    <s v="Single"/>
    <n v="8837"/>
    <n v="16642"/>
    <n v="1"/>
    <s v="Yes"/>
    <n v="16"/>
    <n v="3"/>
    <n v="3"/>
    <n v="0"/>
    <n v="9"/>
    <n v="2"/>
    <n v="3"/>
    <n v="9"/>
    <n v="0"/>
    <n v="1"/>
    <n v="7"/>
    <x v="1"/>
    <n v="79533"/>
    <x v="0"/>
    <n v="0"/>
  </r>
  <r>
    <n v="38"/>
    <x v="1"/>
    <s v="Travel_Rarely"/>
    <n v="345"/>
    <x v="0"/>
    <n v="10"/>
    <n v="2"/>
    <s v="Life Sciences"/>
    <n v="2041"/>
    <n v="1"/>
    <s v="Female"/>
    <n v="100"/>
    <n v="3"/>
    <n v="2"/>
    <x v="0"/>
    <n v="4"/>
    <s v="Married"/>
    <n v="5343"/>
    <n v="5982"/>
    <n v="1"/>
    <s v="No"/>
    <n v="11"/>
    <n v="3"/>
    <n v="3"/>
    <n v="1"/>
    <n v="10"/>
    <n v="1"/>
    <n v="3"/>
    <n v="10"/>
    <n v="7"/>
    <n v="1"/>
    <n v="9"/>
    <x v="1"/>
    <n v="48087"/>
    <x v="1"/>
    <n v="0"/>
  </r>
  <r>
    <n v="50"/>
    <x v="0"/>
    <s v="Travel_Frequently"/>
    <n v="878"/>
    <x v="0"/>
    <n v="1"/>
    <n v="4"/>
    <s v="Life Sciences"/>
    <n v="2044"/>
    <n v="2"/>
    <s v="Male"/>
    <n v="94"/>
    <n v="3"/>
    <n v="2"/>
    <x v="0"/>
    <n v="3"/>
    <s v="Divorced"/>
    <n v="6728"/>
    <n v="14255"/>
    <n v="7"/>
    <s v="No"/>
    <n v="12"/>
    <n v="3"/>
    <n v="4"/>
    <n v="2"/>
    <n v="12"/>
    <n v="3"/>
    <n v="3"/>
    <n v="6"/>
    <n v="3"/>
    <n v="0"/>
    <n v="1"/>
    <x v="0"/>
    <n v="60552"/>
    <x v="1"/>
    <n v="60552"/>
  </r>
  <r>
    <n v="36"/>
    <x v="1"/>
    <s v="Travel_Rarely"/>
    <n v="1120"/>
    <x v="0"/>
    <n v="11"/>
    <n v="4"/>
    <s v="Marketing"/>
    <n v="2045"/>
    <n v="2"/>
    <s v="Female"/>
    <n v="100"/>
    <n v="2"/>
    <n v="2"/>
    <x v="0"/>
    <n v="4"/>
    <s v="Married"/>
    <n v="6652"/>
    <n v="14369"/>
    <n v="4"/>
    <s v="No"/>
    <n v="13"/>
    <n v="3"/>
    <n v="1"/>
    <n v="1"/>
    <n v="8"/>
    <n v="2"/>
    <n v="2"/>
    <n v="6"/>
    <n v="3"/>
    <n v="0"/>
    <n v="0"/>
    <x v="0"/>
    <n v="59868"/>
    <x v="1"/>
    <n v="0"/>
  </r>
  <r>
    <n v="45"/>
    <x v="1"/>
    <s v="Travel_Rarely"/>
    <n v="374"/>
    <x v="0"/>
    <n v="20"/>
    <n v="3"/>
    <s v="Life Sciences"/>
    <n v="2046"/>
    <n v="4"/>
    <s v="Female"/>
    <n v="50"/>
    <n v="3"/>
    <n v="2"/>
    <x v="0"/>
    <n v="3"/>
    <s v="Single"/>
    <n v="4850"/>
    <n v="23333"/>
    <n v="8"/>
    <s v="No"/>
    <n v="15"/>
    <n v="3"/>
    <n v="3"/>
    <n v="0"/>
    <n v="8"/>
    <n v="3"/>
    <n v="3"/>
    <n v="5"/>
    <n v="3"/>
    <n v="0"/>
    <n v="1"/>
    <x v="0"/>
    <n v="43650"/>
    <x v="1"/>
    <n v="0"/>
  </r>
  <r>
    <n v="40"/>
    <x v="1"/>
    <s v="Travel_Rarely"/>
    <n v="1322"/>
    <x v="1"/>
    <n v="2"/>
    <n v="4"/>
    <s v="Life Sciences"/>
    <n v="2048"/>
    <n v="3"/>
    <s v="Male"/>
    <n v="52"/>
    <n v="2"/>
    <n v="1"/>
    <x v="1"/>
    <n v="3"/>
    <s v="Single"/>
    <n v="2809"/>
    <n v="2725"/>
    <n v="2"/>
    <s v="No"/>
    <n v="14"/>
    <n v="3"/>
    <n v="4"/>
    <n v="0"/>
    <n v="8"/>
    <n v="2"/>
    <n v="3"/>
    <n v="2"/>
    <n v="2"/>
    <n v="2"/>
    <n v="2"/>
    <x v="3"/>
    <n v="25281"/>
    <x v="1"/>
    <n v="0"/>
  </r>
  <r>
    <n v="35"/>
    <x v="1"/>
    <s v="Travel_Frequently"/>
    <n v="1199"/>
    <x v="1"/>
    <n v="18"/>
    <n v="4"/>
    <s v="Life Sciences"/>
    <n v="2049"/>
    <n v="3"/>
    <s v="Male"/>
    <n v="80"/>
    <n v="3"/>
    <n v="2"/>
    <x v="4"/>
    <n v="3"/>
    <s v="Married"/>
    <n v="5689"/>
    <n v="24594"/>
    <n v="1"/>
    <s v="Yes"/>
    <n v="14"/>
    <n v="3"/>
    <n v="4"/>
    <n v="2"/>
    <n v="10"/>
    <n v="2"/>
    <n v="4"/>
    <n v="10"/>
    <n v="2"/>
    <n v="0"/>
    <n v="2"/>
    <x v="1"/>
    <n v="51201"/>
    <x v="0"/>
    <n v="0"/>
  </r>
  <r>
    <n v="40"/>
    <x v="1"/>
    <s v="Travel_Rarely"/>
    <n v="1194"/>
    <x v="1"/>
    <n v="2"/>
    <n v="4"/>
    <s v="Medical"/>
    <n v="2051"/>
    <n v="3"/>
    <s v="Female"/>
    <n v="98"/>
    <n v="3"/>
    <n v="1"/>
    <x v="1"/>
    <n v="3"/>
    <s v="Married"/>
    <n v="2001"/>
    <n v="12549"/>
    <n v="2"/>
    <s v="No"/>
    <n v="14"/>
    <n v="3"/>
    <n v="2"/>
    <n v="3"/>
    <n v="20"/>
    <n v="2"/>
    <n v="3"/>
    <n v="5"/>
    <n v="3"/>
    <n v="0"/>
    <n v="2"/>
    <x v="0"/>
    <n v="18009"/>
    <x v="1"/>
    <n v="0"/>
  </r>
  <r>
    <n v="35"/>
    <x v="1"/>
    <s v="Travel_Rarely"/>
    <n v="287"/>
    <x v="1"/>
    <n v="1"/>
    <n v="4"/>
    <s v="Life Sciences"/>
    <n v="2052"/>
    <n v="3"/>
    <s v="Female"/>
    <n v="62"/>
    <n v="1"/>
    <n v="1"/>
    <x v="1"/>
    <n v="4"/>
    <s v="Married"/>
    <n v="2977"/>
    <n v="8952"/>
    <n v="1"/>
    <s v="No"/>
    <n v="12"/>
    <n v="3"/>
    <n v="4"/>
    <n v="1"/>
    <n v="4"/>
    <n v="5"/>
    <n v="3"/>
    <n v="4"/>
    <n v="3"/>
    <n v="1"/>
    <n v="1"/>
    <x v="0"/>
    <n v="26793"/>
    <x v="1"/>
    <n v="0"/>
  </r>
  <r>
    <n v="29"/>
    <x v="1"/>
    <s v="Travel_Rarely"/>
    <n v="1378"/>
    <x v="1"/>
    <n v="13"/>
    <n v="2"/>
    <s v="Other"/>
    <n v="2053"/>
    <n v="4"/>
    <s v="Male"/>
    <n v="46"/>
    <n v="2"/>
    <n v="2"/>
    <x v="2"/>
    <n v="2"/>
    <s v="Married"/>
    <n v="4025"/>
    <n v="23679"/>
    <n v="4"/>
    <s v="Yes"/>
    <n v="13"/>
    <n v="3"/>
    <n v="1"/>
    <n v="1"/>
    <n v="10"/>
    <n v="2"/>
    <n v="3"/>
    <n v="4"/>
    <n v="3"/>
    <n v="0"/>
    <n v="3"/>
    <x v="0"/>
    <n v="36225"/>
    <x v="0"/>
    <n v="0"/>
  </r>
  <r>
    <n v="29"/>
    <x v="1"/>
    <s v="Travel_Rarely"/>
    <n v="468"/>
    <x v="1"/>
    <n v="28"/>
    <n v="4"/>
    <s v="Medical"/>
    <n v="2054"/>
    <n v="4"/>
    <s v="Female"/>
    <n v="73"/>
    <n v="2"/>
    <n v="1"/>
    <x v="1"/>
    <n v="1"/>
    <s v="Single"/>
    <n v="3785"/>
    <n v="8489"/>
    <n v="1"/>
    <s v="No"/>
    <n v="14"/>
    <n v="3"/>
    <n v="2"/>
    <n v="0"/>
    <n v="5"/>
    <n v="3"/>
    <n v="1"/>
    <n v="5"/>
    <n v="4"/>
    <n v="0"/>
    <n v="4"/>
    <x v="0"/>
    <n v="34065"/>
    <x v="0"/>
    <n v="0"/>
  </r>
  <r>
    <n v="50"/>
    <x v="0"/>
    <s v="Travel_Rarely"/>
    <n v="410"/>
    <x v="0"/>
    <n v="28"/>
    <n v="3"/>
    <s v="Marketing"/>
    <n v="2055"/>
    <n v="4"/>
    <s v="Male"/>
    <n v="39"/>
    <n v="2"/>
    <n v="3"/>
    <x v="0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  <x v="3"/>
    <n v="97686"/>
    <x v="2"/>
    <n v="97686"/>
  </r>
  <r>
    <n v="39"/>
    <x v="1"/>
    <s v="Travel_Rarely"/>
    <n v="722"/>
    <x v="0"/>
    <n v="24"/>
    <n v="1"/>
    <s v="Marketing"/>
    <n v="2056"/>
    <n v="2"/>
    <s v="Female"/>
    <n v="60"/>
    <n v="2"/>
    <n v="4"/>
    <x v="0"/>
    <n v="4"/>
    <s v="Married"/>
    <n v="12031"/>
    <n v="8828"/>
    <n v="0"/>
    <s v="No"/>
    <n v="11"/>
    <n v="3"/>
    <n v="1"/>
    <n v="1"/>
    <n v="21"/>
    <n v="2"/>
    <n v="2"/>
    <n v="20"/>
    <n v="9"/>
    <n v="9"/>
    <n v="6"/>
    <x v="1"/>
    <n v="108279"/>
    <x v="1"/>
    <n v="0"/>
  </r>
  <r>
    <n v="31"/>
    <x v="1"/>
    <s v="Non-Travel"/>
    <n v="325"/>
    <x v="1"/>
    <n v="5"/>
    <n v="3"/>
    <s v="Medical"/>
    <n v="2057"/>
    <n v="2"/>
    <s v="Male"/>
    <n v="74"/>
    <n v="3"/>
    <n v="2"/>
    <x v="3"/>
    <n v="1"/>
    <s v="Single"/>
    <n v="9936"/>
    <n v="3787"/>
    <n v="0"/>
    <s v="No"/>
    <n v="19"/>
    <n v="3"/>
    <n v="2"/>
    <n v="0"/>
    <n v="10"/>
    <n v="2"/>
    <n v="3"/>
    <n v="9"/>
    <n v="4"/>
    <n v="1"/>
    <n v="7"/>
    <x v="1"/>
    <n v="89424"/>
    <x v="0"/>
    <n v="0"/>
  </r>
  <r>
    <n v="26"/>
    <x v="1"/>
    <s v="Travel_Rarely"/>
    <n v="1167"/>
    <x v="0"/>
    <n v="5"/>
    <n v="3"/>
    <s v="Other"/>
    <n v="2060"/>
    <n v="4"/>
    <s v="Female"/>
    <n v="30"/>
    <n v="2"/>
    <n v="1"/>
    <x v="6"/>
    <n v="3"/>
    <s v="Single"/>
    <n v="2966"/>
    <n v="21378"/>
    <n v="0"/>
    <s v="No"/>
    <n v="18"/>
    <n v="3"/>
    <n v="4"/>
    <n v="0"/>
    <n v="5"/>
    <n v="2"/>
    <n v="3"/>
    <n v="4"/>
    <n v="2"/>
    <n v="0"/>
    <n v="0"/>
    <x v="0"/>
    <n v="26694"/>
    <x v="1"/>
    <n v="0"/>
  </r>
  <r>
    <n v="36"/>
    <x v="1"/>
    <s v="Travel_Frequently"/>
    <n v="884"/>
    <x v="1"/>
    <n v="23"/>
    <n v="2"/>
    <s v="Medical"/>
    <n v="2061"/>
    <n v="3"/>
    <s v="Male"/>
    <n v="41"/>
    <n v="4"/>
    <n v="2"/>
    <x v="2"/>
    <n v="4"/>
    <s v="Married"/>
    <n v="2571"/>
    <n v="12290"/>
    <n v="4"/>
    <s v="No"/>
    <n v="17"/>
    <n v="3"/>
    <n v="3"/>
    <n v="1"/>
    <n v="17"/>
    <n v="3"/>
    <n v="3"/>
    <n v="5"/>
    <n v="2"/>
    <n v="0"/>
    <n v="3"/>
    <x v="0"/>
    <n v="23139"/>
    <x v="1"/>
    <n v="0"/>
  </r>
  <r>
    <n v="39"/>
    <x v="1"/>
    <s v="Travel_Rarely"/>
    <n v="613"/>
    <x v="1"/>
    <n v="6"/>
    <n v="1"/>
    <s v="Medical"/>
    <n v="2062"/>
    <n v="4"/>
    <s v="Male"/>
    <n v="42"/>
    <n v="2"/>
    <n v="3"/>
    <x v="4"/>
    <n v="1"/>
    <s v="Married"/>
    <n v="9991"/>
    <n v="21457"/>
    <n v="4"/>
    <s v="No"/>
    <n v="15"/>
    <n v="3"/>
    <n v="1"/>
    <n v="1"/>
    <n v="9"/>
    <n v="5"/>
    <n v="3"/>
    <n v="7"/>
    <n v="7"/>
    <n v="1"/>
    <n v="7"/>
    <x v="1"/>
    <n v="89919"/>
    <x v="0"/>
    <n v="0"/>
  </r>
  <r>
    <n v="27"/>
    <x v="1"/>
    <s v="Travel_Rarely"/>
    <n v="155"/>
    <x v="1"/>
    <n v="4"/>
    <n v="3"/>
    <s v="Life Sciences"/>
    <n v="2064"/>
    <n v="2"/>
    <s v="Male"/>
    <n v="87"/>
    <n v="4"/>
    <n v="2"/>
    <x v="3"/>
    <n v="2"/>
    <s v="Married"/>
    <n v="6142"/>
    <n v="5174"/>
    <n v="1"/>
    <s v="Yes"/>
    <n v="20"/>
    <n v="4"/>
    <n v="2"/>
    <n v="1"/>
    <n v="6"/>
    <n v="0"/>
    <n v="3"/>
    <n v="6"/>
    <n v="2"/>
    <n v="0"/>
    <n v="3"/>
    <x v="0"/>
    <n v="55278"/>
    <x v="0"/>
    <n v="0"/>
  </r>
  <r>
    <n v="49"/>
    <x v="1"/>
    <s v="Travel_Frequently"/>
    <n v="1023"/>
    <x v="0"/>
    <n v="2"/>
    <n v="3"/>
    <s v="Medical"/>
    <n v="2065"/>
    <n v="4"/>
    <s v="Male"/>
    <n v="63"/>
    <n v="2"/>
    <n v="2"/>
    <x v="0"/>
    <n v="2"/>
    <s v="Married"/>
    <n v="5390"/>
    <n v="13243"/>
    <n v="2"/>
    <s v="No"/>
    <n v="14"/>
    <n v="3"/>
    <n v="4"/>
    <n v="0"/>
    <n v="17"/>
    <n v="3"/>
    <n v="2"/>
    <n v="9"/>
    <n v="6"/>
    <n v="0"/>
    <n v="8"/>
    <x v="1"/>
    <n v="48510"/>
    <x v="0"/>
    <n v="0"/>
  </r>
  <r>
    <n v="34"/>
    <x v="1"/>
    <s v="Travel_Rarely"/>
    <n v="628"/>
    <x v="1"/>
    <n v="8"/>
    <n v="3"/>
    <s v="Medical"/>
    <n v="2068"/>
    <n v="2"/>
    <s v="Male"/>
    <n v="82"/>
    <n v="4"/>
    <n v="2"/>
    <x v="2"/>
    <n v="3"/>
    <s v="Married"/>
    <n v="4404"/>
    <n v="10228"/>
    <n v="2"/>
    <s v="No"/>
    <n v="12"/>
    <n v="3"/>
    <n v="1"/>
    <n v="0"/>
    <n v="6"/>
    <n v="3"/>
    <n v="4"/>
    <n v="4"/>
    <n v="3"/>
    <n v="1"/>
    <n v="2"/>
    <x v="0"/>
    <n v="39636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4CCDD-B092-4B80-87C3-53EB11DC91B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:D19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32" baseItem="0" numFmtId="10"/>
  </dataFields>
  <chartFormats count="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39FE5-7BF1-446A-9323-6597151ACDE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D6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4" baseItem="0" numFmtId="10"/>
  </dataFields>
  <chartFormats count="4">
    <chartFormat chart="0" format="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3D942-39FC-464C-9A97-58A48D6709D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9:E54" firstHeaderRow="1" firstDataRow="2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1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4"/>
  </colFields>
  <colItems count="4">
    <i>
      <x/>
    </i>
    <i>
      <x v="1"/>
    </i>
    <i>
      <x v="2"/>
    </i>
    <i t="grand">
      <x/>
    </i>
  </colItems>
  <dataFields count="1">
    <dataField name="Count of RiskFlag" fld="34" subtotal="count" baseField="0" baseItem="0"/>
  </dataFields>
  <chartFormats count="6">
    <chartFormat chart="0" format="0" series="1">
      <pivotArea type="data" outline="0" fieldPosition="0">
        <references count="1">
          <reference field="3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E5BFE-32BB-4F41-9938-984B5BE5253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3:B43" firstHeaderRow="1" firstDataRow="1" firstDataCol="1" rowPageCount="1" colPageCount="1"/>
  <pivotFields count="36"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item="1" hier="-1"/>
  </pageFields>
  <dataFields count="1">
    <dataField name="Average of EstReplacementCost" fld="33" subtotal="average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B58C8-B72D-4966-86A0-F0D791CA7C99}" name="Table1" displayName="Table1" ref="A1:AJ1471" totalsRowShown="0">
  <autoFilter ref="A1:AJ1471" xr:uid="{980B58C8-B72D-4966-86A0-F0D791CA7C99}"/>
  <tableColumns count="36">
    <tableColumn id="1" xr3:uid="{A53DC7F2-F716-48D1-B6A6-54E9F29E64F9}" name="Age"/>
    <tableColumn id="2" xr3:uid="{DCF006B5-2CAA-4322-BD37-3B563DAA9A73}" name="Attrition"/>
    <tableColumn id="3" xr3:uid="{BEDC6FEB-D81B-451B-8BB7-25721147E83F}" name="BusinessTravel"/>
    <tableColumn id="4" xr3:uid="{AA999E94-6BD7-49D6-97AC-E91E27CFF0F6}" name="DailyRate"/>
    <tableColumn id="5" xr3:uid="{7B888869-1F00-4880-AE97-962C775152E0}" name="Department"/>
    <tableColumn id="6" xr3:uid="{B285A311-33E3-4BA9-85E9-3B6EBFC4F370}" name="DistanceFromHome"/>
    <tableColumn id="7" xr3:uid="{75367D25-A292-4391-A8EE-0AD7C3F05FA6}" name="Education"/>
    <tableColumn id="8" xr3:uid="{7897CA73-2830-4CCF-98BA-B1E9418D009E}" name="EducationField"/>
    <tableColumn id="9" xr3:uid="{C177103E-4D92-43B4-818A-3F44E8ECDC48}" name="EmployeeNumber"/>
    <tableColumn id="10" xr3:uid="{492AF60D-B150-47D7-B65D-AAA2958A4F86}" name="EnvironmentSatisfaction"/>
    <tableColumn id="11" xr3:uid="{84437832-56E5-47B2-B389-0C5A95FAB3AD}" name="Gender"/>
    <tableColumn id="12" xr3:uid="{9A124607-10F7-4732-9FDB-FB464F538917}" name="HourlyRate"/>
    <tableColumn id="13" xr3:uid="{09241A0C-8C57-4F0F-8108-8523FC366DA3}" name="JobInvolvement"/>
    <tableColumn id="14" xr3:uid="{2B4DA2AB-40BF-4C8C-8D78-A4039FD5E986}" name="JobLevel"/>
    <tableColumn id="15" xr3:uid="{686B59F8-0512-4592-BC8D-11699A233120}" name="JobRole"/>
    <tableColumn id="16" xr3:uid="{B5C7EEFD-A709-4BE4-9304-1F9B56F5B507}" name="JobSatisfaction"/>
    <tableColumn id="17" xr3:uid="{BBAF747B-B561-43EB-9B5C-4E823825169B}" name="MaritalStatus"/>
    <tableColumn id="18" xr3:uid="{C03DFC2D-76D1-4B1A-973F-349A3B976DF3}" name="MonthlyIncome"/>
    <tableColumn id="19" xr3:uid="{8EC99CE5-2B94-4911-B482-6DBA49234598}" name="MonthlyRate"/>
    <tableColumn id="20" xr3:uid="{D584BA9B-8872-4C7E-9D01-F1D07E47E2F1}" name="NumCompaniesWorked"/>
    <tableColumn id="21" xr3:uid="{92353ED1-486D-4415-A1A5-41AF0624C931}" name="OverTime"/>
    <tableColumn id="22" xr3:uid="{A68FCE97-0A11-4095-AE9A-5C0C1FE9CC5B}" name="PercentSalaryHike"/>
    <tableColumn id="23" xr3:uid="{79F5CF62-37F4-4436-9127-F91D8E6273B5}" name="PerformanceRating"/>
    <tableColumn id="24" xr3:uid="{998E834C-86D3-4F7B-9C5D-5797A3FD0F45}" name="RelationshipSatisfaction"/>
    <tableColumn id="25" xr3:uid="{98C31DA1-6499-499E-833F-B08DD89FEA95}" name="StockOptionLevel"/>
    <tableColumn id="26" xr3:uid="{D6E8BB2A-BF20-49EA-AE33-A59EE64C872A}" name="TotalWorkingYears"/>
    <tableColumn id="27" xr3:uid="{9CFBB3C5-44E9-4EE9-97C1-A1127840E895}" name="TrainingTimesLastYear"/>
    <tableColumn id="28" xr3:uid="{61AC1382-F7D8-4DA1-8E69-0CA2B7050E06}" name="WorkLifeBalance"/>
    <tableColumn id="29" xr3:uid="{B5D511BC-7000-461A-B546-CC05AD8FB385}" name="YearsAtCompany"/>
    <tableColumn id="30" xr3:uid="{DAA2B12E-A1CA-4CB7-8A8A-170EB72422A6}" name="YearsInCurrentRole"/>
    <tableColumn id="31" xr3:uid="{9D4B1B22-F527-4EBE-B9FF-A884F5DA6497}" name="YearsSinceLastPromotion"/>
    <tableColumn id="32" xr3:uid="{EFFFEC89-09BE-46E8-B755-E30CB90E016B}" name="YearsWithCurrManager"/>
    <tableColumn id="33" xr3:uid="{E0ED602B-76F5-4923-8291-310492E3E034}" name="TensureBand " dataDxfId="3">
      <calculatedColumnFormula>IF(Table1[[#This Row],[YearsAtCompany]]&lt;1,"0-1",IF(Table1[[#This Row],[YearsAtCompany]]&lt;=3,"1-3",IF(Table1[[#This Row],[YearsAtCompany]]&lt;=6,"4-6","7+")))</calculatedColumnFormula>
    </tableColumn>
    <tableColumn id="34" xr3:uid="{F927BD18-04D6-4E05-9F6C-6A763D539B0F}" name="EstReplacementCost" dataDxfId="2">
      <calculatedColumnFormula>Table1[[#This Row],[MonthlyIncome]]*12*0.75</calculatedColumnFormula>
    </tableColumn>
    <tableColumn id="35" xr3:uid="{C9D19979-646D-47EF-8B73-ADCE5E140EC6}" name="RiskFlag" dataDxfId="1">
      <calculatedColumnFormula>IF(AND(Table1[[#This Row],[OverTime]]="Yes",Table1[[#This Row],[JobSatisfaction]]&lt;=2,Table1[[#This Row],[YearsAtCompany]]&lt;=3),"High",IF(OR(Table1[[#This Row],[OverTime]]="Yes",Table1[[#This Row],[JobSatisfaction]]&lt;=2),"Medium","Low"))</calculatedColumnFormula>
    </tableColumn>
    <tableColumn id="36" xr3:uid="{E7A6555A-1D42-4490-B8BA-271F526F57FA}" name="AtRiskCost" dataDxfId="0">
      <calculatedColumnFormula>IF(Table1[[#This Row],[Attrition]]="Yes",Table1[[#This Row],[EstReplacementCost]],0)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4E8B-9B52-4142-80C8-CA0838A725D1}">
  <dimension ref="A1:AI1471"/>
  <sheetViews>
    <sheetView topLeftCell="T1308" workbookViewId="0">
      <selection activeCell="T1420" sqref="T1420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5002-8ACA-4706-BBFF-D0E151222EBE}">
  <dimension ref="A1:E54"/>
  <sheetViews>
    <sheetView tabSelected="1" topLeftCell="A32" workbookViewId="0">
      <selection activeCell="D50" sqref="D50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4.44140625" bestFit="1" customWidth="1"/>
    <col min="4" max="4" width="8.109375" bestFit="1" customWidth="1"/>
    <col min="5" max="5" width="10.77734375" bestFit="1" customWidth="1"/>
  </cols>
  <sheetData>
    <row r="1" spans="1:4" x14ac:dyDescent="0.3">
      <c r="A1" s="1" t="s">
        <v>68</v>
      </c>
      <c r="B1" s="1" t="s">
        <v>69</v>
      </c>
    </row>
    <row r="2" spans="1:4" x14ac:dyDescent="0.3">
      <c r="A2" s="1" t="s">
        <v>66</v>
      </c>
      <c r="B2" t="s">
        <v>43</v>
      </c>
      <c r="C2" t="s">
        <v>35</v>
      </c>
      <c r="D2" t="s">
        <v>67</v>
      </c>
    </row>
    <row r="3" spans="1:4" x14ac:dyDescent="0.3">
      <c r="A3" s="2" t="s">
        <v>61</v>
      </c>
      <c r="B3" s="3">
        <v>0.80952380952380953</v>
      </c>
      <c r="C3" s="3">
        <v>0.19047619047619047</v>
      </c>
      <c r="D3" s="3">
        <v>1</v>
      </c>
    </row>
    <row r="4" spans="1:4" x14ac:dyDescent="0.3">
      <c r="A4" s="2" t="s">
        <v>45</v>
      </c>
      <c r="B4" s="3">
        <v>0.86160249739854322</v>
      </c>
      <c r="C4" s="3">
        <v>0.13839750260145681</v>
      </c>
      <c r="D4" s="3">
        <v>1</v>
      </c>
    </row>
    <row r="5" spans="1:4" x14ac:dyDescent="0.3">
      <c r="A5" s="2" t="s">
        <v>37</v>
      </c>
      <c r="B5" s="3">
        <v>0.79372197309417036</v>
      </c>
      <c r="C5" s="3">
        <v>0.20627802690582961</v>
      </c>
      <c r="D5" s="3">
        <v>1</v>
      </c>
    </row>
    <row r="6" spans="1:4" x14ac:dyDescent="0.3">
      <c r="A6" s="2" t="s">
        <v>67</v>
      </c>
      <c r="B6" s="3">
        <v>0.83877551020408159</v>
      </c>
      <c r="C6" s="3">
        <v>0.16122448979591836</v>
      </c>
      <c r="D6" s="3">
        <v>1</v>
      </c>
    </row>
    <row r="13" spans="1:4" x14ac:dyDescent="0.3">
      <c r="A13" s="1" t="s">
        <v>68</v>
      </c>
      <c r="B13" s="1" t="s">
        <v>69</v>
      </c>
    </row>
    <row r="14" spans="1:4" x14ac:dyDescent="0.3">
      <c r="A14" s="1" t="s">
        <v>66</v>
      </c>
      <c r="B14" t="s">
        <v>43</v>
      </c>
      <c r="C14" t="s">
        <v>35</v>
      </c>
      <c r="D14" t="s">
        <v>67</v>
      </c>
    </row>
    <row r="15" spans="1:4" x14ac:dyDescent="0.3">
      <c r="A15" s="2" t="s">
        <v>70</v>
      </c>
      <c r="B15" s="3">
        <v>0.63636363636363635</v>
      </c>
      <c r="C15" s="3">
        <v>0.36363636363636365</v>
      </c>
      <c r="D15" s="3">
        <v>1</v>
      </c>
    </row>
    <row r="16" spans="1:4" x14ac:dyDescent="0.3">
      <c r="A16" s="2" t="s">
        <v>71</v>
      </c>
      <c r="B16" s="3">
        <v>0.75117370892018775</v>
      </c>
      <c r="C16" s="3">
        <v>0.24882629107981222</v>
      </c>
      <c r="D16" s="3">
        <v>1</v>
      </c>
    </row>
    <row r="17" spans="1:4" x14ac:dyDescent="0.3">
      <c r="A17" s="2" t="s">
        <v>72</v>
      </c>
      <c r="B17" s="3">
        <v>0.87172774869109948</v>
      </c>
      <c r="C17" s="3">
        <v>0.12827225130890052</v>
      </c>
      <c r="D17" s="3">
        <v>1</v>
      </c>
    </row>
    <row r="18" spans="1:4" x14ac:dyDescent="0.3">
      <c r="A18" s="2" t="s">
        <v>73</v>
      </c>
      <c r="B18" s="3">
        <v>0.89320388349514568</v>
      </c>
      <c r="C18" s="3">
        <v>0.10679611650485436</v>
      </c>
      <c r="D18" s="3">
        <v>1</v>
      </c>
    </row>
    <row r="19" spans="1:4" x14ac:dyDescent="0.3">
      <c r="A19" s="2" t="s">
        <v>67</v>
      </c>
      <c r="B19" s="3">
        <v>0.83877551020408159</v>
      </c>
      <c r="C19" s="3">
        <v>0.16122448979591836</v>
      </c>
      <c r="D19" s="3">
        <v>1</v>
      </c>
    </row>
    <row r="31" spans="1:4" x14ac:dyDescent="0.3">
      <c r="A31" s="1" t="s">
        <v>1</v>
      </c>
      <c r="B31" t="s">
        <v>35</v>
      </c>
    </row>
    <row r="33" spans="1:2" x14ac:dyDescent="0.3">
      <c r="A33" s="1" t="s">
        <v>66</v>
      </c>
      <c r="B33" t="s">
        <v>74</v>
      </c>
    </row>
    <row r="34" spans="1:2" x14ac:dyDescent="0.3">
      <c r="A34" s="2" t="s">
        <v>54</v>
      </c>
      <c r="B34">
        <v>76934</v>
      </c>
    </row>
    <row r="35" spans="1:2" x14ac:dyDescent="0.3">
      <c r="A35" s="2" t="s">
        <v>61</v>
      </c>
      <c r="B35">
        <v>33441.75</v>
      </c>
    </row>
    <row r="36" spans="1:2" x14ac:dyDescent="0.3">
      <c r="A36" s="2" t="s">
        <v>50</v>
      </c>
      <c r="B36">
        <v>26273.322580645163</v>
      </c>
    </row>
    <row r="37" spans="1:2" x14ac:dyDescent="0.3">
      <c r="A37" s="2" t="s">
        <v>56</v>
      </c>
      <c r="B37">
        <v>151176.6</v>
      </c>
    </row>
    <row r="38" spans="1:2" x14ac:dyDescent="0.3">
      <c r="A38" s="2" t="s">
        <v>53</v>
      </c>
      <c r="B38">
        <v>66289.5</v>
      </c>
    </row>
    <row r="39" spans="1:2" x14ac:dyDescent="0.3">
      <c r="A39" s="2" t="s">
        <v>58</v>
      </c>
      <c r="B39">
        <v>174559.5</v>
      </c>
    </row>
    <row r="40" spans="1:2" x14ac:dyDescent="0.3">
      <c r="A40" s="2" t="s">
        <v>47</v>
      </c>
      <c r="B40">
        <v>25024.212765957447</v>
      </c>
    </row>
    <row r="41" spans="1:2" x14ac:dyDescent="0.3">
      <c r="A41" s="2" t="s">
        <v>40</v>
      </c>
      <c r="B41">
        <v>67401</v>
      </c>
    </row>
    <row r="42" spans="1:2" x14ac:dyDescent="0.3">
      <c r="A42" s="2" t="s">
        <v>57</v>
      </c>
      <c r="B42">
        <v>21282.545454545456</v>
      </c>
    </row>
    <row r="43" spans="1:2" x14ac:dyDescent="0.3">
      <c r="A43" s="2" t="s">
        <v>67</v>
      </c>
      <c r="B43">
        <v>43083.835443037977</v>
      </c>
    </row>
    <row r="49" spans="1:5" x14ac:dyDescent="0.3">
      <c r="A49" s="1" t="s">
        <v>78</v>
      </c>
      <c r="B49" s="1" t="s">
        <v>69</v>
      </c>
    </row>
    <row r="50" spans="1:5" x14ac:dyDescent="0.3">
      <c r="A50" s="1" t="s">
        <v>66</v>
      </c>
      <c r="B50" t="s">
        <v>75</v>
      </c>
      <c r="C50" t="s">
        <v>76</v>
      </c>
      <c r="D50" t="s">
        <v>77</v>
      </c>
      <c r="E50" t="s">
        <v>67</v>
      </c>
    </row>
    <row r="51" spans="1:5" x14ac:dyDescent="0.3">
      <c r="A51" s="2" t="s">
        <v>61</v>
      </c>
      <c r="B51">
        <v>3</v>
      </c>
      <c r="C51">
        <v>24</v>
      </c>
      <c r="D51">
        <v>36</v>
      </c>
      <c r="E51">
        <v>63</v>
      </c>
    </row>
    <row r="52" spans="1:5" x14ac:dyDescent="0.3">
      <c r="A52" s="2" t="s">
        <v>45</v>
      </c>
      <c r="B52">
        <v>39</v>
      </c>
      <c r="C52">
        <v>428</v>
      </c>
      <c r="D52">
        <v>494</v>
      </c>
      <c r="E52">
        <v>961</v>
      </c>
    </row>
    <row r="53" spans="1:5" x14ac:dyDescent="0.3">
      <c r="A53" s="2" t="s">
        <v>37</v>
      </c>
      <c r="B53">
        <v>14</v>
      </c>
      <c r="C53">
        <v>186</v>
      </c>
      <c r="D53">
        <v>246</v>
      </c>
      <c r="E53">
        <v>446</v>
      </c>
    </row>
    <row r="54" spans="1:5" x14ac:dyDescent="0.3">
      <c r="A54" s="2" t="s">
        <v>67</v>
      </c>
      <c r="B54">
        <v>56</v>
      </c>
      <c r="C54">
        <v>638</v>
      </c>
      <c r="D54">
        <v>776</v>
      </c>
      <c r="E54">
        <v>1470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08A8-6767-41B4-B918-0AC50B3D0338}">
  <dimension ref="A1:AJ1471"/>
  <sheetViews>
    <sheetView topLeftCell="A2" workbookViewId="0">
      <selection activeCell="B5" sqref="B5"/>
    </sheetView>
  </sheetViews>
  <sheetFormatPr defaultRowHeight="14.4" x14ac:dyDescent="0.3"/>
  <cols>
    <col min="2" max="2" width="9.88671875" customWidth="1"/>
    <col min="3" max="3" width="15.109375" customWidth="1"/>
    <col min="4" max="4" width="10.77734375" customWidth="1"/>
    <col min="5" max="5" width="13" customWidth="1"/>
    <col min="6" max="6" width="19.33203125" customWidth="1"/>
    <col min="7" max="7" width="11.33203125" customWidth="1"/>
    <col min="8" max="8" width="15.21875" customWidth="1"/>
    <col min="9" max="9" width="18.109375" customWidth="1"/>
    <col min="10" max="10" width="23.5546875" customWidth="1"/>
    <col min="11" max="11" width="9" customWidth="1"/>
    <col min="12" max="12" width="12.21875" customWidth="1"/>
    <col min="13" max="13" width="16.44140625" customWidth="1"/>
    <col min="14" max="14" width="10.109375" customWidth="1"/>
    <col min="15" max="15" width="9.44140625" customWidth="1"/>
    <col min="16" max="16" width="15.5546875" customWidth="1"/>
    <col min="17" max="17" width="14.109375" customWidth="1"/>
    <col min="18" max="18" width="16.44140625" customWidth="1"/>
    <col min="19" max="19" width="13.88671875" customWidth="1"/>
    <col min="20" max="20" width="23" customWidth="1"/>
    <col min="21" max="21" width="11" customWidth="1"/>
    <col min="22" max="22" width="18.109375" customWidth="1"/>
    <col min="23" max="23" width="19.109375" customWidth="1"/>
    <col min="24" max="24" width="23" customWidth="1"/>
    <col min="25" max="25" width="17.6640625" customWidth="1"/>
    <col min="26" max="26" width="18.6640625" customWidth="1"/>
    <col min="27" max="27" width="21.5546875" customWidth="1"/>
    <col min="28" max="28" width="17" customWidth="1"/>
    <col min="29" max="29" width="17.33203125" customWidth="1"/>
    <col min="30" max="30" width="19" customWidth="1"/>
    <col min="31" max="31" width="24.109375" customWidth="1"/>
    <col min="32" max="32" width="22.44140625" customWidth="1"/>
    <col min="33" max="33" width="13.77734375" customWidth="1"/>
    <col min="34" max="34" width="16.33203125" customWidth="1"/>
    <col min="35" max="35" width="10.44140625" customWidth="1"/>
    <col min="36" max="36" width="12.218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22</v>
      </c>
      <c r="V1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62</v>
      </c>
      <c r="AH1" t="s">
        <v>63</v>
      </c>
      <c r="AI1" t="s">
        <v>64</v>
      </c>
      <c r="AJ1" t="s">
        <v>65</v>
      </c>
    </row>
    <row r="2" spans="1:36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>
        <v>5993</v>
      </c>
      <c r="S2">
        <v>19479</v>
      </c>
      <c r="T2">
        <v>8</v>
      </c>
      <c r="U2" t="s">
        <v>35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tr">
        <f>IF(Table1[[#This Row],[YearsAtCompany]]&lt;1,"0-1",IF(Table1[[#This Row],[YearsAtCompany]]&lt;=3,"1-3",IF(Table1[[#This Row],[YearsAtCompany]]&lt;=6,"4-6","7+")))</f>
        <v>4-6</v>
      </c>
      <c r="AH2">
        <f>Table1[[#This Row],[MonthlyIncome]]*12*0.75</f>
        <v>53937</v>
      </c>
      <c r="AI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">
        <f>IF(Table1[[#This Row],[Attrition]]="Yes",Table1[[#This Row],[EstReplacementCost]],0)</f>
        <v>53937</v>
      </c>
    </row>
    <row r="3" spans="1:36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47</v>
      </c>
      <c r="P3">
        <v>2</v>
      </c>
      <c r="Q3" t="s">
        <v>48</v>
      </c>
      <c r="R3">
        <v>5130</v>
      </c>
      <c r="S3">
        <v>24907</v>
      </c>
      <c r="T3">
        <v>1</v>
      </c>
      <c r="U3" t="s">
        <v>43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tr">
        <f>IF(Table1[[#This Row],[YearsAtCompany]]&lt;1,"0-1",IF(Table1[[#This Row],[YearsAtCompany]]&lt;=3,"1-3",IF(Table1[[#This Row],[YearsAtCompany]]&lt;=6,"4-6","7+")))</f>
        <v>7+</v>
      </c>
      <c r="AH3">
        <f>Table1[[#This Row],[MonthlyIncome]]*12*0.75</f>
        <v>46170</v>
      </c>
      <c r="AI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">
        <f>IF(Table1[[#This Row],[Attrition]]="Yes",Table1[[#This Row],[EstReplacementCost]],0)</f>
        <v>0</v>
      </c>
    </row>
    <row r="4" spans="1:36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50</v>
      </c>
      <c r="P4">
        <v>3</v>
      </c>
      <c r="Q4" t="s">
        <v>41</v>
      </c>
      <c r="R4">
        <v>2090</v>
      </c>
      <c r="S4">
        <v>2396</v>
      </c>
      <c r="T4">
        <v>6</v>
      </c>
      <c r="U4" t="s">
        <v>35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tr">
        <f>IF(Table1[[#This Row],[YearsAtCompany]]&lt;1,"0-1",IF(Table1[[#This Row],[YearsAtCompany]]&lt;=3,"1-3",IF(Table1[[#This Row],[YearsAtCompany]]&lt;=6,"4-6","7+")))</f>
        <v>0-1</v>
      </c>
      <c r="AH4">
        <f>Table1[[#This Row],[MonthlyIncome]]*12*0.75</f>
        <v>18810</v>
      </c>
      <c r="AI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">
        <f>IF(Table1[[#This Row],[Attrition]]="Yes",Table1[[#This Row],[EstReplacementCost]],0)</f>
        <v>18810</v>
      </c>
    </row>
    <row r="5" spans="1:36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47</v>
      </c>
      <c r="P5">
        <v>3</v>
      </c>
      <c r="Q5" t="s">
        <v>48</v>
      </c>
      <c r="R5">
        <v>2909</v>
      </c>
      <c r="S5">
        <v>23159</v>
      </c>
      <c r="T5">
        <v>1</v>
      </c>
      <c r="U5" t="s">
        <v>35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tr">
        <f>IF(Table1[[#This Row],[YearsAtCompany]]&lt;1,"0-1",IF(Table1[[#This Row],[YearsAtCompany]]&lt;=3,"1-3",IF(Table1[[#This Row],[YearsAtCompany]]&lt;=6,"4-6","7+")))</f>
        <v>7+</v>
      </c>
      <c r="AH5">
        <f>Table1[[#This Row],[MonthlyIncome]]*12*0.75</f>
        <v>26181</v>
      </c>
      <c r="AI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">
        <f>IF(Table1[[#This Row],[Attrition]]="Yes",Table1[[#This Row],[EstReplacementCost]],0)</f>
        <v>0</v>
      </c>
    </row>
    <row r="6" spans="1:36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50</v>
      </c>
      <c r="P6">
        <v>2</v>
      </c>
      <c r="Q6" t="s">
        <v>48</v>
      </c>
      <c r="R6">
        <v>3468</v>
      </c>
      <c r="S6">
        <v>16632</v>
      </c>
      <c r="T6">
        <v>9</v>
      </c>
      <c r="U6" t="s">
        <v>43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tr">
        <f>IF(Table1[[#This Row],[YearsAtCompany]]&lt;1,"0-1",IF(Table1[[#This Row],[YearsAtCompany]]&lt;=3,"1-3",IF(Table1[[#This Row],[YearsAtCompany]]&lt;=6,"4-6","7+")))</f>
        <v>1-3</v>
      </c>
      <c r="AH6">
        <f>Table1[[#This Row],[MonthlyIncome]]*12*0.75</f>
        <v>31212</v>
      </c>
      <c r="AI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">
        <f>IF(Table1[[#This Row],[Attrition]]="Yes",Table1[[#This Row],[EstReplacementCost]],0)</f>
        <v>0</v>
      </c>
    </row>
    <row r="7" spans="1:36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50</v>
      </c>
      <c r="P7">
        <v>4</v>
      </c>
      <c r="Q7" t="s">
        <v>41</v>
      </c>
      <c r="R7">
        <v>3068</v>
      </c>
      <c r="S7">
        <v>11864</v>
      </c>
      <c r="T7">
        <v>0</v>
      </c>
      <c r="U7" t="s">
        <v>43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tr">
        <f>IF(Table1[[#This Row],[YearsAtCompany]]&lt;1,"0-1",IF(Table1[[#This Row],[YearsAtCompany]]&lt;=3,"1-3",IF(Table1[[#This Row],[YearsAtCompany]]&lt;=6,"4-6","7+")))</f>
        <v>7+</v>
      </c>
      <c r="AH7">
        <f>Table1[[#This Row],[MonthlyIncome]]*12*0.75</f>
        <v>27612</v>
      </c>
      <c r="AI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">
        <f>IF(Table1[[#This Row],[Attrition]]="Yes",Table1[[#This Row],[EstReplacementCost]],0)</f>
        <v>0</v>
      </c>
    </row>
    <row r="8" spans="1:36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50</v>
      </c>
      <c r="P8">
        <v>1</v>
      </c>
      <c r="Q8" t="s">
        <v>48</v>
      </c>
      <c r="R8">
        <v>2670</v>
      </c>
      <c r="S8">
        <v>9964</v>
      </c>
      <c r="T8">
        <v>4</v>
      </c>
      <c r="U8" t="s">
        <v>35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tr">
        <f>IF(Table1[[#This Row],[YearsAtCompany]]&lt;1,"0-1",IF(Table1[[#This Row],[YearsAtCompany]]&lt;=3,"1-3",IF(Table1[[#This Row],[YearsAtCompany]]&lt;=6,"4-6","7+")))</f>
        <v>1-3</v>
      </c>
      <c r="AH8">
        <f>Table1[[#This Row],[MonthlyIncome]]*12*0.75</f>
        <v>24030</v>
      </c>
      <c r="AI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8">
        <f>IF(Table1[[#This Row],[Attrition]]="Yes",Table1[[#This Row],[EstReplacementCost]],0)</f>
        <v>0</v>
      </c>
    </row>
    <row r="9" spans="1:36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50</v>
      </c>
      <c r="P9">
        <v>3</v>
      </c>
      <c r="Q9" t="s">
        <v>52</v>
      </c>
      <c r="R9">
        <v>2693</v>
      </c>
      <c r="S9">
        <v>13335</v>
      </c>
      <c r="T9">
        <v>1</v>
      </c>
      <c r="U9" t="s">
        <v>43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tr">
        <f>IF(Table1[[#This Row],[YearsAtCompany]]&lt;1,"0-1",IF(Table1[[#This Row],[YearsAtCompany]]&lt;=3,"1-3",IF(Table1[[#This Row],[YearsAtCompany]]&lt;=6,"4-6","7+")))</f>
        <v>1-3</v>
      </c>
      <c r="AH9">
        <f>Table1[[#This Row],[MonthlyIncome]]*12*0.75</f>
        <v>24237</v>
      </c>
      <c r="AI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">
        <f>IF(Table1[[#This Row],[Attrition]]="Yes",Table1[[#This Row],[EstReplacementCost]],0)</f>
        <v>0</v>
      </c>
    </row>
    <row r="10" spans="1:36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53</v>
      </c>
      <c r="P10">
        <v>3</v>
      </c>
      <c r="Q10" t="s">
        <v>41</v>
      </c>
      <c r="R10">
        <v>9526</v>
      </c>
      <c r="S10">
        <v>8787</v>
      </c>
      <c r="T10">
        <v>0</v>
      </c>
      <c r="U10" t="s">
        <v>43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tr">
        <f>IF(Table1[[#This Row],[YearsAtCompany]]&lt;1,"0-1",IF(Table1[[#This Row],[YearsAtCompany]]&lt;=3,"1-3",IF(Table1[[#This Row],[YearsAtCompany]]&lt;=6,"4-6","7+")))</f>
        <v>7+</v>
      </c>
      <c r="AH10">
        <f>Table1[[#This Row],[MonthlyIncome]]*12*0.75</f>
        <v>85734</v>
      </c>
      <c r="AI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">
        <f>IF(Table1[[#This Row],[Attrition]]="Yes",Table1[[#This Row],[EstReplacementCost]],0)</f>
        <v>0</v>
      </c>
    </row>
    <row r="11" spans="1:36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54</v>
      </c>
      <c r="P11">
        <v>3</v>
      </c>
      <c r="Q11" t="s">
        <v>48</v>
      </c>
      <c r="R11">
        <v>5237</v>
      </c>
      <c r="S11">
        <v>16577</v>
      </c>
      <c r="T11">
        <v>6</v>
      </c>
      <c r="U11" t="s">
        <v>43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tr">
        <f>IF(Table1[[#This Row],[YearsAtCompany]]&lt;1,"0-1",IF(Table1[[#This Row],[YearsAtCompany]]&lt;=3,"1-3",IF(Table1[[#This Row],[YearsAtCompany]]&lt;=6,"4-6","7+")))</f>
        <v>7+</v>
      </c>
      <c r="AH11">
        <f>Table1[[#This Row],[MonthlyIncome]]*12*0.75</f>
        <v>47133</v>
      </c>
      <c r="AI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">
        <f>IF(Table1[[#This Row],[Attrition]]="Yes",Table1[[#This Row],[EstReplacementCost]],0)</f>
        <v>0</v>
      </c>
    </row>
    <row r="12" spans="1:36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50</v>
      </c>
      <c r="P12">
        <v>2</v>
      </c>
      <c r="Q12" t="s">
        <v>48</v>
      </c>
      <c r="R12">
        <v>2426</v>
      </c>
      <c r="S12">
        <v>16479</v>
      </c>
      <c r="T12">
        <v>0</v>
      </c>
      <c r="U12" t="s">
        <v>43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tr">
        <f>IF(Table1[[#This Row],[YearsAtCompany]]&lt;1,"0-1",IF(Table1[[#This Row],[YearsAtCompany]]&lt;=3,"1-3",IF(Table1[[#This Row],[YearsAtCompany]]&lt;=6,"4-6","7+")))</f>
        <v>4-6</v>
      </c>
      <c r="AH12">
        <f>Table1[[#This Row],[MonthlyIncome]]*12*0.75</f>
        <v>21834</v>
      </c>
      <c r="AI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">
        <f>IF(Table1[[#This Row],[Attrition]]="Yes",Table1[[#This Row],[EstReplacementCost]],0)</f>
        <v>0</v>
      </c>
    </row>
    <row r="13" spans="1:36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50</v>
      </c>
      <c r="P13">
        <v>3</v>
      </c>
      <c r="Q13" t="s">
        <v>41</v>
      </c>
      <c r="R13">
        <v>4193</v>
      </c>
      <c r="S13">
        <v>12682</v>
      </c>
      <c r="T13">
        <v>0</v>
      </c>
      <c r="U13" t="s">
        <v>35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tr">
        <f>IF(Table1[[#This Row],[YearsAtCompany]]&lt;1,"0-1",IF(Table1[[#This Row],[YearsAtCompany]]&lt;=3,"1-3",IF(Table1[[#This Row],[YearsAtCompany]]&lt;=6,"4-6","7+")))</f>
        <v>7+</v>
      </c>
      <c r="AH13">
        <f>Table1[[#This Row],[MonthlyIncome]]*12*0.75</f>
        <v>37737</v>
      </c>
      <c r="AI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">
        <f>IF(Table1[[#This Row],[Attrition]]="Yes",Table1[[#This Row],[EstReplacementCost]],0)</f>
        <v>0</v>
      </c>
    </row>
    <row r="14" spans="1:36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47</v>
      </c>
      <c r="P14">
        <v>3</v>
      </c>
      <c r="Q14" t="s">
        <v>52</v>
      </c>
      <c r="R14">
        <v>2911</v>
      </c>
      <c r="S14">
        <v>15170</v>
      </c>
      <c r="T14">
        <v>1</v>
      </c>
      <c r="U14" t="s">
        <v>43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tr">
        <f>IF(Table1[[#This Row],[YearsAtCompany]]&lt;1,"0-1",IF(Table1[[#This Row],[YearsAtCompany]]&lt;=3,"1-3",IF(Table1[[#This Row],[YearsAtCompany]]&lt;=6,"4-6","7+")))</f>
        <v>4-6</v>
      </c>
      <c r="AH14">
        <f>Table1[[#This Row],[MonthlyIncome]]*12*0.75</f>
        <v>26199</v>
      </c>
      <c r="AI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">
        <f>IF(Table1[[#This Row],[Attrition]]="Yes",Table1[[#This Row],[EstReplacementCost]],0)</f>
        <v>0</v>
      </c>
    </row>
    <row r="15" spans="1:36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50</v>
      </c>
      <c r="P15">
        <v>4</v>
      </c>
      <c r="Q15" t="s">
        <v>52</v>
      </c>
      <c r="R15">
        <v>2661</v>
      </c>
      <c r="S15">
        <v>8758</v>
      </c>
      <c r="T15">
        <v>0</v>
      </c>
      <c r="U15" t="s">
        <v>43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tr">
        <f>IF(Table1[[#This Row],[YearsAtCompany]]&lt;1,"0-1",IF(Table1[[#This Row],[YearsAtCompany]]&lt;=3,"1-3",IF(Table1[[#This Row],[YearsAtCompany]]&lt;=6,"4-6","7+")))</f>
        <v>1-3</v>
      </c>
      <c r="AH15">
        <f>Table1[[#This Row],[MonthlyIncome]]*12*0.75</f>
        <v>23949</v>
      </c>
      <c r="AI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5">
        <f>IF(Table1[[#This Row],[Attrition]]="Yes",Table1[[#This Row],[EstReplacementCost]],0)</f>
        <v>0</v>
      </c>
    </row>
    <row r="16" spans="1:36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50</v>
      </c>
      <c r="P16">
        <v>3</v>
      </c>
      <c r="Q16" t="s">
        <v>41</v>
      </c>
      <c r="R16">
        <v>2028</v>
      </c>
      <c r="S16">
        <v>12947</v>
      </c>
      <c r="T16">
        <v>5</v>
      </c>
      <c r="U16" t="s">
        <v>35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tr">
        <f>IF(Table1[[#This Row],[YearsAtCompany]]&lt;1,"0-1",IF(Table1[[#This Row],[YearsAtCompany]]&lt;=3,"1-3",IF(Table1[[#This Row],[YearsAtCompany]]&lt;=6,"4-6","7+")))</f>
        <v>4-6</v>
      </c>
      <c r="AH16">
        <f>Table1[[#This Row],[MonthlyIncome]]*12*0.75</f>
        <v>18252</v>
      </c>
      <c r="AI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6">
        <f>IF(Table1[[#This Row],[Attrition]]="Yes",Table1[[#This Row],[EstReplacementCost]],0)</f>
        <v>18252</v>
      </c>
    </row>
    <row r="17" spans="1:36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53</v>
      </c>
      <c r="P17">
        <v>1</v>
      </c>
      <c r="Q17" t="s">
        <v>52</v>
      </c>
      <c r="R17">
        <v>9980</v>
      </c>
      <c r="S17">
        <v>10195</v>
      </c>
      <c r="T17">
        <v>1</v>
      </c>
      <c r="U17" t="s">
        <v>43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tr">
        <f>IF(Table1[[#This Row],[YearsAtCompany]]&lt;1,"0-1",IF(Table1[[#This Row],[YearsAtCompany]]&lt;=3,"1-3",IF(Table1[[#This Row],[YearsAtCompany]]&lt;=6,"4-6","7+")))</f>
        <v>7+</v>
      </c>
      <c r="AH17">
        <f>Table1[[#This Row],[MonthlyIncome]]*12*0.75</f>
        <v>89820</v>
      </c>
      <c r="AI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7">
        <f>IF(Table1[[#This Row],[Attrition]]="Yes",Table1[[#This Row],[EstReplacementCost]],0)</f>
        <v>0</v>
      </c>
    </row>
    <row r="18" spans="1:36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47</v>
      </c>
      <c r="P18">
        <v>2</v>
      </c>
      <c r="Q18" t="s">
        <v>52</v>
      </c>
      <c r="R18">
        <v>3298</v>
      </c>
      <c r="S18">
        <v>15053</v>
      </c>
      <c r="T18">
        <v>0</v>
      </c>
      <c r="U18" t="s">
        <v>35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tr">
        <f>IF(Table1[[#This Row],[YearsAtCompany]]&lt;1,"0-1",IF(Table1[[#This Row],[YearsAtCompany]]&lt;=3,"1-3",IF(Table1[[#This Row],[YearsAtCompany]]&lt;=6,"4-6","7+")))</f>
        <v>4-6</v>
      </c>
      <c r="AH18">
        <f>Table1[[#This Row],[MonthlyIncome]]*12*0.75</f>
        <v>29682</v>
      </c>
      <c r="AI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8">
        <f>IF(Table1[[#This Row],[Attrition]]="Yes",Table1[[#This Row],[EstReplacementCost]],0)</f>
        <v>0</v>
      </c>
    </row>
    <row r="19" spans="1:36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50</v>
      </c>
      <c r="P19">
        <v>4</v>
      </c>
      <c r="Q19" t="s">
        <v>52</v>
      </c>
      <c r="R19">
        <v>2935</v>
      </c>
      <c r="S19">
        <v>7324</v>
      </c>
      <c r="T19">
        <v>1</v>
      </c>
      <c r="U19" t="s">
        <v>35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tr">
        <f>IF(Table1[[#This Row],[YearsAtCompany]]&lt;1,"0-1",IF(Table1[[#This Row],[YearsAtCompany]]&lt;=3,"1-3",IF(Table1[[#This Row],[YearsAtCompany]]&lt;=6,"4-6","7+")))</f>
        <v>1-3</v>
      </c>
      <c r="AH19">
        <f>Table1[[#This Row],[MonthlyIncome]]*12*0.75</f>
        <v>26415</v>
      </c>
      <c r="AI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9">
        <f>IF(Table1[[#This Row],[Attrition]]="Yes",Table1[[#This Row],[EstReplacementCost]],0)</f>
        <v>0</v>
      </c>
    </row>
    <row r="20" spans="1:36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56</v>
      </c>
      <c r="P20">
        <v>4</v>
      </c>
      <c r="Q20" t="s">
        <v>48</v>
      </c>
      <c r="R20">
        <v>15427</v>
      </c>
      <c r="S20">
        <v>22021</v>
      </c>
      <c r="T20">
        <v>2</v>
      </c>
      <c r="U20" t="s">
        <v>43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tr">
        <f>IF(Table1[[#This Row],[YearsAtCompany]]&lt;1,"0-1",IF(Table1[[#This Row],[YearsAtCompany]]&lt;=3,"1-3",IF(Table1[[#This Row],[YearsAtCompany]]&lt;=6,"4-6","7+")))</f>
        <v>7+</v>
      </c>
      <c r="AH20">
        <f>Table1[[#This Row],[MonthlyIncome]]*12*0.75</f>
        <v>138843</v>
      </c>
      <c r="AI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0">
        <f>IF(Table1[[#This Row],[Attrition]]="Yes",Table1[[#This Row],[EstReplacementCost]],0)</f>
        <v>0</v>
      </c>
    </row>
    <row r="21" spans="1:36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47</v>
      </c>
      <c r="P21">
        <v>4</v>
      </c>
      <c r="Q21" t="s">
        <v>41</v>
      </c>
      <c r="R21">
        <v>3944</v>
      </c>
      <c r="S21">
        <v>4306</v>
      </c>
      <c r="T21">
        <v>5</v>
      </c>
      <c r="U21" t="s">
        <v>35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tr">
        <f>IF(Table1[[#This Row],[YearsAtCompany]]&lt;1,"0-1",IF(Table1[[#This Row],[YearsAtCompany]]&lt;=3,"1-3",IF(Table1[[#This Row],[YearsAtCompany]]&lt;=6,"4-6","7+")))</f>
        <v>1-3</v>
      </c>
      <c r="AH21">
        <f>Table1[[#This Row],[MonthlyIncome]]*12*0.75</f>
        <v>35496</v>
      </c>
      <c r="AI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1">
        <f>IF(Table1[[#This Row],[Attrition]]="Yes",Table1[[#This Row],[EstReplacementCost]],0)</f>
        <v>0</v>
      </c>
    </row>
    <row r="22" spans="1:36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53</v>
      </c>
      <c r="P22">
        <v>3</v>
      </c>
      <c r="Q22" t="s">
        <v>52</v>
      </c>
      <c r="R22">
        <v>4011</v>
      </c>
      <c r="S22">
        <v>8232</v>
      </c>
      <c r="T22">
        <v>0</v>
      </c>
      <c r="U22" t="s">
        <v>43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tr">
        <f>IF(Table1[[#This Row],[YearsAtCompany]]&lt;1,"0-1",IF(Table1[[#This Row],[YearsAtCompany]]&lt;=3,"1-3",IF(Table1[[#This Row],[YearsAtCompany]]&lt;=6,"4-6","7+")))</f>
        <v>4-6</v>
      </c>
      <c r="AH22">
        <f>Table1[[#This Row],[MonthlyIncome]]*12*0.75</f>
        <v>36099</v>
      </c>
      <c r="AI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2">
        <f>IF(Table1[[#This Row],[Attrition]]="Yes",Table1[[#This Row],[EstReplacementCost]],0)</f>
        <v>0</v>
      </c>
    </row>
    <row r="23" spans="1:36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57</v>
      </c>
      <c r="P23">
        <v>1</v>
      </c>
      <c r="Q23" t="s">
        <v>41</v>
      </c>
      <c r="R23">
        <v>3407</v>
      </c>
      <c r="S23">
        <v>6986</v>
      </c>
      <c r="T23">
        <v>7</v>
      </c>
      <c r="U23" t="s">
        <v>43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tr">
        <f>IF(Table1[[#This Row],[YearsAtCompany]]&lt;1,"0-1",IF(Table1[[#This Row],[YearsAtCompany]]&lt;=3,"1-3",IF(Table1[[#This Row],[YearsAtCompany]]&lt;=6,"4-6","7+")))</f>
        <v>4-6</v>
      </c>
      <c r="AH23">
        <f>Table1[[#This Row],[MonthlyIncome]]*12*0.75</f>
        <v>30663</v>
      </c>
      <c r="AI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3">
        <f>IF(Table1[[#This Row],[Attrition]]="Yes",Table1[[#This Row],[EstReplacementCost]],0)</f>
        <v>30663</v>
      </c>
    </row>
    <row r="24" spans="1:36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58</v>
      </c>
      <c r="P24">
        <v>2</v>
      </c>
      <c r="Q24" t="s">
        <v>41</v>
      </c>
      <c r="R24">
        <v>11994</v>
      </c>
      <c r="S24">
        <v>21293</v>
      </c>
      <c r="T24">
        <v>0</v>
      </c>
      <c r="U24" t="s">
        <v>43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tr">
        <f>IF(Table1[[#This Row],[YearsAtCompany]]&lt;1,"0-1",IF(Table1[[#This Row],[YearsAtCompany]]&lt;=3,"1-3",IF(Table1[[#This Row],[YearsAtCompany]]&lt;=6,"4-6","7+")))</f>
        <v>7+</v>
      </c>
      <c r="AH24">
        <f>Table1[[#This Row],[MonthlyIncome]]*12*0.75</f>
        <v>107946</v>
      </c>
      <c r="AI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4">
        <f>IF(Table1[[#This Row],[Attrition]]="Yes",Table1[[#This Row],[EstReplacementCost]],0)</f>
        <v>0</v>
      </c>
    </row>
    <row r="25" spans="1:36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47</v>
      </c>
      <c r="P25">
        <v>4</v>
      </c>
      <c r="Q25" t="s">
        <v>41</v>
      </c>
      <c r="R25">
        <v>1232</v>
      </c>
      <c r="S25">
        <v>19281</v>
      </c>
      <c r="T25">
        <v>1</v>
      </c>
      <c r="U25" t="s">
        <v>43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tr">
        <f>IF(Table1[[#This Row],[YearsAtCompany]]&lt;1,"0-1",IF(Table1[[#This Row],[YearsAtCompany]]&lt;=3,"1-3",IF(Table1[[#This Row],[YearsAtCompany]]&lt;=6,"4-6","7+")))</f>
        <v>0-1</v>
      </c>
      <c r="AH25">
        <f>Table1[[#This Row],[MonthlyIncome]]*12*0.75</f>
        <v>11088</v>
      </c>
      <c r="AI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5">
        <f>IF(Table1[[#This Row],[Attrition]]="Yes",Table1[[#This Row],[EstReplacementCost]],0)</f>
        <v>0</v>
      </c>
    </row>
    <row r="26" spans="1:36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47</v>
      </c>
      <c r="P26">
        <v>1</v>
      </c>
      <c r="Q26" t="s">
        <v>41</v>
      </c>
      <c r="R26">
        <v>2960</v>
      </c>
      <c r="S26">
        <v>17102</v>
      </c>
      <c r="T26">
        <v>2</v>
      </c>
      <c r="U26" t="s">
        <v>43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tr">
        <f>IF(Table1[[#This Row],[YearsAtCompany]]&lt;1,"0-1",IF(Table1[[#This Row],[YearsAtCompany]]&lt;=3,"1-3",IF(Table1[[#This Row],[YearsAtCompany]]&lt;=6,"4-6","7+")))</f>
        <v>4-6</v>
      </c>
      <c r="AH26">
        <f>Table1[[#This Row],[MonthlyIncome]]*12*0.75</f>
        <v>26640</v>
      </c>
      <c r="AI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6">
        <f>IF(Table1[[#This Row],[Attrition]]="Yes",Table1[[#This Row],[EstReplacementCost]],0)</f>
        <v>26640</v>
      </c>
    </row>
    <row r="27" spans="1:36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56</v>
      </c>
      <c r="P27">
        <v>3</v>
      </c>
      <c r="Q27" t="s">
        <v>52</v>
      </c>
      <c r="R27">
        <v>19094</v>
      </c>
      <c r="S27">
        <v>10735</v>
      </c>
      <c r="T27">
        <v>4</v>
      </c>
      <c r="U27" t="s">
        <v>43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tr">
        <f>IF(Table1[[#This Row],[YearsAtCompany]]&lt;1,"0-1",IF(Table1[[#This Row],[YearsAtCompany]]&lt;=3,"1-3",IF(Table1[[#This Row],[YearsAtCompany]]&lt;=6,"4-6","7+")))</f>
        <v>7+</v>
      </c>
      <c r="AH27">
        <f>Table1[[#This Row],[MonthlyIncome]]*12*0.75</f>
        <v>171846</v>
      </c>
      <c r="AI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7">
        <f>IF(Table1[[#This Row],[Attrition]]="Yes",Table1[[#This Row],[EstReplacementCost]],0)</f>
        <v>0</v>
      </c>
    </row>
    <row r="28" spans="1:36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47</v>
      </c>
      <c r="P28">
        <v>1</v>
      </c>
      <c r="Q28" t="s">
        <v>41</v>
      </c>
      <c r="R28">
        <v>3919</v>
      </c>
      <c r="S28">
        <v>4681</v>
      </c>
      <c r="T28">
        <v>1</v>
      </c>
      <c r="U28" t="s">
        <v>35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tr">
        <f>IF(Table1[[#This Row],[YearsAtCompany]]&lt;1,"0-1",IF(Table1[[#This Row],[YearsAtCompany]]&lt;=3,"1-3",IF(Table1[[#This Row],[YearsAtCompany]]&lt;=6,"4-6","7+")))</f>
        <v>7+</v>
      </c>
      <c r="AH28">
        <f>Table1[[#This Row],[MonthlyIncome]]*12*0.75</f>
        <v>35271</v>
      </c>
      <c r="AI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8">
        <f>IF(Table1[[#This Row],[Attrition]]="Yes",Table1[[#This Row],[EstReplacementCost]],0)</f>
        <v>35271</v>
      </c>
    </row>
    <row r="29" spans="1:36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48</v>
      </c>
      <c r="R29">
        <v>6825</v>
      </c>
      <c r="S29">
        <v>21173</v>
      </c>
      <c r="T29">
        <v>0</v>
      </c>
      <c r="U29" t="s">
        <v>43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tr">
        <f>IF(Table1[[#This Row],[YearsAtCompany]]&lt;1,"0-1",IF(Table1[[#This Row],[YearsAtCompany]]&lt;=3,"1-3",IF(Table1[[#This Row],[YearsAtCompany]]&lt;=6,"4-6","7+")))</f>
        <v>7+</v>
      </c>
      <c r="AH29">
        <f>Table1[[#This Row],[MonthlyIncome]]*12*0.75</f>
        <v>61425</v>
      </c>
      <c r="AI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9">
        <f>IF(Table1[[#This Row],[Attrition]]="Yes",Table1[[#This Row],[EstReplacementCost]],0)</f>
        <v>0</v>
      </c>
    </row>
    <row r="30" spans="1:36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54</v>
      </c>
      <c r="P30">
        <v>4</v>
      </c>
      <c r="Q30" t="s">
        <v>48</v>
      </c>
      <c r="R30">
        <v>10248</v>
      </c>
      <c r="S30">
        <v>2094</v>
      </c>
      <c r="T30">
        <v>3</v>
      </c>
      <c r="U30" t="s">
        <v>43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tr">
        <f>IF(Table1[[#This Row],[YearsAtCompany]]&lt;1,"0-1",IF(Table1[[#This Row],[YearsAtCompany]]&lt;=3,"1-3",IF(Table1[[#This Row],[YearsAtCompany]]&lt;=6,"4-6","7+")))</f>
        <v>7+</v>
      </c>
      <c r="AH30">
        <f>Table1[[#This Row],[MonthlyIncome]]*12*0.75</f>
        <v>92232</v>
      </c>
      <c r="AI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0">
        <f>IF(Table1[[#This Row],[Attrition]]="Yes",Table1[[#This Row],[EstReplacementCost]],0)</f>
        <v>0</v>
      </c>
    </row>
    <row r="31" spans="1:36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56</v>
      </c>
      <c r="P31">
        <v>1</v>
      </c>
      <c r="Q31" t="s">
        <v>41</v>
      </c>
      <c r="R31">
        <v>18947</v>
      </c>
      <c r="S31">
        <v>22822</v>
      </c>
      <c r="T31">
        <v>3</v>
      </c>
      <c r="U31" t="s">
        <v>43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tr">
        <f>IF(Table1[[#This Row],[YearsAtCompany]]&lt;1,"0-1",IF(Table1[[#This Row],[YearsAtCompany]]&lt;=3,"1-3",IF(Table1[[#This Row],[YearsAtCompany]]&lt;=6,"4-6","7+")))</f>
        <v>1-3</v>
      </c>
      <c r="AH31">
        <f>Table1[[#This Row],[MonthlyIncome]]*12*0.75</f>
        <v>170523</v>
      </c>
      <c r="AI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1">
        <f>IF(Table1[[#This Row],[Attrition]]="Yes",Table1[[#This Row],[EstReplacementCost]],0)</f>
        <v>0</v>
      </c>
    </row>
    <row r="32" spans="1:36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50</v>
      </c>
      <c r="P32">
        <v>4</v>
      </c>
      <c r="Q32" t="s">
        <v>41</v>
      </c>
      <c r="R32">
        <v>2496</v>
      </c>
      <c r="S32">
        <v>6670</v>
      </c>
      <c r="T32">
        <v>4</v>
      </c>
      <c r="U32" t="s">
        <v>43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tr">
        <f>IF(Table1[[#This Row],[YearsAtCompany]]&lt;1,"0-1",IF(Table1[[#This Row],[YearsAtCompany]]&lt;=3,"1-3",IF(Table1[[#This Row],[YearsAtCompany]]&lt;=6,"4-6","7+")))</f>
        <v>1-3</v>
      </c>
      <c r="AH32">
        <f>Table1[[#This Row],[MonthlyIncome]]*12*0.75</f>
        <v>22464</v>
      </c>
      <c r="AI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2">
        <f>IF(Table1[[#This Row],[Attrition]]="Yes",Table1[[#This Row],[EstReplacementCost]],0)</f>
        <v>0</v>
      </c>
    </row>
    <row r="33" spans="1:36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54</v>
      </c>
      <c r="P33">
        <v>4</v>
      </c>
      <c r="Q33" t="s">
        <v>48</v>
      </c>
      <c r="R33">
        <v>6465</v>
      </c>
      <c r="S33">
        <v>19121</v>
      </c>
      <c r="T33">
        <v>2</v>
      </c>
      <c r="U33" t="s">
        <v>35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tr">
        <f>IF(Table1[[#This Row],[YearsAtCompany]]&lt;1,"0-1",IF(Table1[[#This Row],[YearsAtCompany]]&lt;=3,"1-3",IF(Table1[[#This Row],[YearsAtCompany]]&lt;=6,"4-6","7+")))</f>
        <v>4-6</v>
      </c>
      <c r="AH33">
        <f>Table1[[#This Row],[MonthlyIncome]]*12*0.75</f>
        <v>58185</v>
      </c>
      <c r="AI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3">
        <f>IF(Table1[[#This Row],[Attrition]]="Yes",Table1[[#This Row],[EstReplacementCost]],0)</f>
        <v>0</v>
      </c>
    </row>
    <row r="34" spans="1:36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50</v>
      </c>
      <c r="P34">
        <v>3</v>
      </c>
      <c r="Q34" t="s">
        <v>41</v>
      </c>
      <c r="R34">
        <v>2206</v>
      </c>
      <c r="S34">
        <v>16117</v>
      </c>
      <c r="T34">
        <v>1</v>
      </c>
      <c r="U34" t="s">
        <v>43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tr">
        <f>IF(Table1[[#This Row],[YearsAtCompany]]&lt;1,"0-1",IF(Table1[[#This Row],[YearsAtCompany]]&lt;=3,"1-3",IF(Table1[[#This Row],[YearsAtCompany]]&lt;=6,"4-6","7+")))</f>
        <v>7+</v>
      </c>
      <c r="AH34">
        <f>Table1[[#This Row],[MonthlyIncome]]*12*0.75</f>
        <v>19854</v>
      </c>
      <c r="AI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4">
        <f>IF(Table1[[#This Row],[Attrition]]="Yes",Table1[[#This Row],[EstReplacementCost]],0)</f>
        <v>0</v>
      </c>
    </row>
    <row r="35" spans="1:36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57</v>
      </c>
      <c r="P35">
        <v>4</v>
      </c>
      <c r="Q35" t="s">
        <v>48</v>
      </c>
      <c r="R35">
        <v>2086</v>
      </c>
      <c r="S35">
        <v>3335</v>
      </c>
      <c r="T35">
        <v>3</v>
      </c>
      <c r="U35" t="s">
        <v>43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tr">
        <f>IF(Table1[[#This Row],[YearsAtCompany]]&lt;1,"0-1",IF(Table1[[#This Row],[YearsAtCompany]]&lt;=3,"1-3",IF(Table1[[#This Row],[YearsAtCompany]]&lt;=6,"4-6","7+")))</f>
        <v>1-3</v>
      </c>
      <c r="AH35">
        <f>Table1[[#This Row],[MonthlyIncome]]*12*0.75</f>
        <v>18774</v>
      </c>
      <c r="AI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5">
        <f>IF(Table1[[#This Row],[Attrition]]="Yes",Table1[[#This Row],[EstReplacementCost]],0)</f>
        <v>18774</v>
      </c>
    </row>
    <row r="36" spans="1:36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47</v>
      </c>
      <c r="P36">
        <v>4</v>
      </c>
      <c r="Q36" t="s">
        <v>48</v>
      </c>
      <c r="R36">
        <v>2293</v>
      </c>
      <c r="S36">
        <v>3020</v>
      </c>
      <c r="T36">
        <v>2</v>
      </c>
      <c r="U36" t="s">
        <v>35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tr">
        <f>IF(Table1[[#This Row],[YearsAtCompany]]&lt;1,"0-1",IF(Table1[[#This Row],[YearsAtCompany]]&lt;=3,"1-3",IF(Table1[[#This Row],[YearsAtCompany]]&lt;=6,"4-6","7+")))</f>
        <v>1-3</v>
      </c>
      <c r="AH36">
        <f>Table1[[#This Row],[MonthlyIncome]]*12*0.75</f>
        <v>20637</v>
      </c>
      <c r="AI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6">
        <f>IF(Table1[[#This Row],[Attrition]]="Yes",Table1[[#This Row],[EstReplacementCost]],0)</f>
        <v>20637</v>
      </c>
    </row>
    <row r="37" spans="1:36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47</v>
      </c>
      <c r="P37">
        <v>3</v>
      </c>
      <c r="Q37" t="s">
        <v>52</v>
      </c>
      <c r="R37">
        <v>2645</v>
      </c>
      <c r="S37">
        <v>21923</v>
      </c>
      <c r="T37">
        <v>1</v>
      </c>
      <c r="U37" t="s">
        <v>43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tr">
        <f>IF(Table1[[#This Row],[YearsAtCompany]]&lt;1,"0-1",IF(Table1[[#This Row],[YearsAtCompany]]&lt;=3,"1-3",IF(Table1[[#This Row],[YearsAtCompany]]&lt;=6,"4-6","7+")))</f>
        <v>4-6</v>
      </c>
      <c r="AH37">
        <f>Table1[[#This Row],[MonthlyIncome]]*12*0.75</f>
        <v>23805</v>
      </c>
      <c r="AI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7">
        <f>IF(Table1[[#This Row],[Attrition]]="Yes",Table1[[#This Row],[EstReplacementCost]],0)</f>
        <v>0</v>
      </c>
    </row>
    <row r="38" spans="1:36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57</v>
      </c>
      <c r="P38">
        <v>3</v>
      </c>
      <c r="Q38" t="s">
        <v>48</v>
      </c>
      <c r="R38">
        <v>2683</v>
      </c>
      <c r="S38">
        <v>3810</v>
      </c>
      <c r="T38">
        <v>1</v>
      </c>
      <c r="U38" t="s">
        <v>35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tr">
        <f>IF(Table1[[#This Row],[YearsAtCompany]]&lt;1,"0-1",IF(Table1[[#This Row],[YearsAtCompany]]&lt;=3,"1-3",IF(Table1[[#This Row],[YearsAtCompany]]&lt;=6,"4-6","7+")))</f>
        <v>1-3</v>
      </c>
      <c r="AH38">
        <f>Table1[[#This Row],[MonthlyIncome]]*12*0.75</f>
        <v>24147</v>
      </c>
      <c r="AI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8">
        <f>IF(Table1[[#This Row],[Attrition]]="Yes",Table1[[#This Row],[EstReplacementCost]],0)</f>
        <v>24147</v>
      </c>
    </row>
    <row r="39" spans="1:36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57</v>
      </c>
      <c r="P39">
        <v>4</v>
      </c>
      <c r="Q39" t="s">
        <v>48</v>
      </c>
      <c r="R39">
        <v>2014</v>
      </c>
      <c r="S39">
        <v>9687</v>
      </c>
      <c r="T39">
        <v>1</v>
      </c>
      <c r="U39" t="s">
        <v>43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tr">
        <f>IF(Table1[[#This Row],[YearsAtCompany]]&lt;1,"0-1",IF(Table1[[#This Row],[YearsAtCompany]]&lt;=3,"1-3",IF(Table1[[#This Row],[YearsAtCompany]]&lt;=6,"4-6","7+")))</f>
        <v>1-3</v>
      </c>
      <c r="AH39">
        <f>Table1[[#This Row],[MonthlyIncome]]*12*0.75</f>
        <v>18126</v>
      </c>
      <c r="AI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9">
        <f>IF(Table1[[#This Row],[Attrition]]="Yes",Table1[[#This Row],[EstReplacementCost]],0)</f>
        <v>0</v>
      </c>
    </row>
    <row r="40" spans="1:36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47</v>
      </c>
      <c r="P40">
        <v>1</v>
      </c>
      <c r="Q40" t="s">
        <v>48</v>
      </c>
      <c r="R40">
        <v>3419</v>
      </c>
      <c r="S40">
        <v>13072</v>
      </c>
      <c r="T40">
        <v>9</v>
      </c>
      <c r="U40" t="s">
        <v>35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tr">
        <f>IF(Table1[[#This Row],[YearsAtCompany]]&lt;1,"0-1",IF(Table1[[#This Row],[YearsAtCompany]]&lt;=3,"1-3",IF(Table1[[#This Row],[YearsAtCompany]]&lt;=6,"4-6","7+")))</f>
        <v>1-3</v>
      </c>
      <c r="AH40">
        <f>Table1[[#This Row],[MonthlyIncome]]*12*0.75</f>
        <v>30771</v>
      </c>
      <c r="AI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40">
        <f>IF(Table1[[#This Row],[Attrition]]="Yes",Table1[[#This Row],[EstReplacementCost]],0)</f>
        <v>0</v>
      </c>
    </row>
    <row r="41" spans="1:36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48</v>
      </c>
      <c r="R41">
        <v>5376</v>
      </c>
      <c r="S41">
        <v>3193</v>
      </c>
      <c r="T41">
        <v>2</v>
      </c>
      <c r="U41" t="s">
        <v>43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tr">
        <f>IF(Table1[[#This Row],[YearsAtCompany]]&lt;1,"0-1",IF(Table1[[#This Row],[YearsAtCompany]]&lt;=3,"1-3",IF(Table1[[#This Row],[YearsAtCompany]]&lt;=6,"4-6","7+")))</f>
        <v>4-6</v>
      </c>
      <c r="AH41">
        <f>Table1[[#This Row],[MonthlyIncome]]*12*0.75</f>
        <v>48384</v>
      </c>
      <c r="AI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1">
        <f>IF(Table1[[#This Row],[Attrition]]="Yes",Table1[[#This Row],[EstReplacementCost]],0)</f>
        <v>0</v>
      </c>
    </row>
    <row r="42" spans="1:36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50</v>
      </c>
      <c r="P42">
        <v>4</v>
      </c>
      <c r="Q42" t="s">
        <v>52</v>
      </c>
      <c r="R42">
        <v>1951</v>
      </c>
      <c r="S42">
        <v>10910</v>
      </c>
      <c r="T42">
        <v>1</v>
      </c>
      <c r="U42" t="s">
        <v>43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tr">
        <f>IF(Table1[[#This Row],[YearsAtCompany]]&lt;1,"0-1",IF(Table1[[#This Row],[YearsAtCompany]]&lt;=3,"1-3",IF(Table1[[#This Row],[YearsAtCompany]]&lt;=6,"4-6","7+")))</f>
        <v>1-3</v>
      </c>
      <c r="AH42">
        <f>Table1[[#This Row],[MonthlyIncome]]*12*0.75</f>
        <v>17559</v>
      </c>
      <c r="AI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2">
        <f>IF(Table1[[#This Row],[Attrition]]="Yes",Table1[[#This Row],[EstReplacementCost]],0)</f>
        <v>0</v>
      </c>
    </row>
    <row r="43" spans="1:36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50</v>
      </c>
      <c r="P43">
        <v>1</v>
      </c>
      <c r="Q43" t="s">
        <v>52</v>
      </c>
      <c r="R43">
        <v>2341</v>
      </c>
      <c r="S43">
        <v>19715</v>
      </c>
      <c r="T43">
        <v>1</v>
      </c>
      <c r="U43" t="s">
        <v>43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tr">
        <f>IF(Table1[[#This Row],[YearsAtCompany]]&lt;1,"0-1",IF(Table1[[#This Row],[YearsAtCompany]]&lt;=3,"1-3",IF(Table1[[#This Row],[YearsAtCompany]]&lt;=6,"4-6","7+")))</f>
        <v>1-3</v>
      </c>
      <c r="AH43">
        <f>Table1[[#This Row],[MonthlyIncome]]*12*0.75</f>
        <v>21069</v>
      </c>
      <c r="AI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3">
        <f>IF(Table1[[#This Row],[Attrition]]="Yes",Table1[[#This Row],[EstReplacementCost]],0)</f>
        <v>0</v>
      </c>
    </row>
    <row r="44" spans="1:36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50</v>
      </c>
      <c r="P44">
        <v>3</v>
      </c>
      <c r="Q44" t="s">
        <v>41</v>
      </c>
      <c r="R44">
        <v>2293</v>
      </c>
      <c r="S44">
        <v>10558</v>
      </c>
      <c r="T44">
        <v>1</v>
      </c>
      <c r="U44" t="s">
        <v>43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tr">
        <f>IF(Table1[[#This Row],[YearsAtCompany]]&lt;1,"0-1",IF(Table1[[#This Row],[YearsAtCompany]]&lt;=3,"1-3",IF(Table1[[#This Row],[YearsAtCompany]]&lt;=6,"4-6","7+")))</f>
        <v>1-3</v>
      </c>
      <c r="AH44">
        <f>Table1[[#This Row],[MonthlyIncome]]*12*0.75</f>
        <v>20637</v>
      </c>
      <c r="AI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4">
        <f>IF(Table1[[#This Row],[Attrition]]="Yes",Table1[[#This Row],[EstReplacementCost]],0)</f>
        <v>20637</v>
      </c>
    </row>
    <row r="45" spans="1:36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>
        <v>8726</v>
      </c>
      <c r="S45">
        <v>2975</v>
      </c>
      <c r="T45">
        <v>1</v>
      </c>
      <c r="U45" t="s">
        <v>43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tr">
        <f>IF(Table1[[#This Row],[YearsAtCompany]]&lt;1,"0-1",IF(Table1[[#This Row],[YearsAtCompany]]&lt;=3,"1-3",IF(Table1[[#This Row],[YearsAtCompany]]&lt;=6,"4-6","7+")))</f>
        <v>7+</v>
      </c>
      <c r="AH45">
        <f>Table1[[#This Row],[MonthlyIncome]]*12*0.75</f>
        <v>78534</v>
      </c>
      <c r="AI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5">
        <f>IF(Table1[[#This Row],[Attrition]]="Yes",Table1[[#This Row],[EstReplacementCost]],0)</f>
        <v>0</v>
      </c>
    </row>
    <row r="46" spans="1:36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50</v>
      </c>
      <c r="P46">
        <v>4</v>
      </c>
      <c r="Q46" t="s">
        <v>41</v>
      </c>
      <c r="R46">
        <v>4011</v>
      </c>
      <c r="S46">
        <v>10781</v>
      </c>
      <c r="T46">
        <v>1</v>
      </c>
      <c r="U46" t="s">
        <v>43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tr">
        <f>IF(Table1[[#This Row],[YearsAtCompany]]&lt;1,"0-1",IF(Table1[[#This Row],[YearsAtCompany]]&lt;=3,"1-3",IF(Table1[[#This Row],[YearsAtCompany]]&lt;=6,"4-6","7+")))</f>
        <v>7+</v>
      </c>
      <c r="AH46">
        <f>Table1[[#This Row],[MonthlyIncome]]*12*0.75</f>
        <v>36099</v>
      </c>
      <c r="AI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6">
        <f>IF(Table1[[#This Row],[Attrition]]="Yes",Table1[[#This Row],[EstReplacementCost]],0)</f>
        <v>0</v>
      </c>
    </row>
    <row r="47" spans="1:36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58</v>
      </c>
      <c r="P47">
        <v>3</v>
      </c>
      <c r="Q47" t="s">
        <v>48</v>
      </c>
      <c r="R47">
        <v>19545</v>
      </c>
      <c r="S47">
        <v>16280</v>
      </c>
      <c r="T47">
        <v>1</v>
      </c>
      <c r="U47" t="s">
        <v>43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tr">
        <f>IF(Table1[[#This Row],[YearsAtCompany]]&lt;1,"0-1",IF(Table1[[#This Row],[YearsAtCompany]]&lt;=3,"1-3",IF(Table1[[#This Row],[YearsAtCompany]]&lt;=6,"4-6","7+")))</f>
        <v>7+</v>
      </c>
      <c r="AH47">
        <f>Table1[[#This Row],[MonthlyIncome]]*12*0.75</f>
        <v>175905</v>
      </c>
      <c r="AI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7">
        <f>IF(Table1[[#This Row],[Attrition]]="Yes",Table1[[#This Row],[EstReplacementCost]],0)</f>
        <v>175905</v>
      </c>
    </row>
    <row r="48" spans="1:36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>
        <v>4568</v>
      </c>
      <c r="S48">
        <v>10034</v>
      </c>
      <c r="T48">
        <v>0</v>
      </c>
      <c r="U48" t="s">
        <v>43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tr">
        <f>IF(Table1[[#This Row],[YearsAtCompany]]&lt;1,"0-1",IF(Table1[[#This Row],[YearsAtCompany]]&lt;=3,"1-3",IF(Table1[[#This Row],[YearsAtCompany]]&lt;=6,"4-6","7+")))</f>
        <v>7+</v>
      </c>
      <c r="AH48">
        <f>Table1[[#This Row],[MonthlyIncome]]*12*0.75</f>
        <v>41112</v>
      </c>
      <c r="AI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8">
        <f>IF(Table1[[#This Row],[Attrition]]="Yes",Table1[[#This Row],[EstReplacementCost]],0)</f>
        <v>0</v>
      </c>
    </row>
    <row r="49" spans="1:36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47</v>
      </c>
      <c r="P49">
        <v>2</v>
      </c>
      <c r="Q49" t="s">
        <v>48</v>
      </c>
      <c r="R49">
        <v>3022</v>
      </c>
      <c r="S49">
        <v>10227</v>
      </c>
      <c r="T49">
        <v>4</v>
      </c>
      <c r="U49" t="s">
        <v>43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tr">
        <f>IF(Table1[[#This Row],[YearsAtCompany]]&lt;1,"0-1",IF(Table1[[#This Row],[YearsAtCompany]]&lt;=3,"1-3",IF(Table1[[#This Row],[YearsAtCompany]]&lt;=6,"4-6","7+")))</f>
        <v>1-3</v>
      </c>
      <c r="AH49">
        <f>Table1[[#This Row],[MonthlyIncome]]*12*0.75</f>
        <v>27198</v>
      </c>
      <c r="AI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9">
        <f>IF(Table1[[#This Row],[Attrition]]="Yes",Table1[[#This Row],[EstReplacementCost]],0)</f>
        <v>0</v>
      </c>
    </row>
    <row r="50" spans="1:36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>
        <v>5772</v>
      </c>
      <c r="S50">
        <v>20445</v>
      </c>
      <c r="T50">
        <v>4</v>
      </c>
      <c r="U50" t="s">
        <v>35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tr">
        <f>IF(Table1[[#This Row],[YearsAtCompany]]&lt;1,"0-1",IF(Table1[[#This Row],[YearsAtCompany]]&lt;=3,"1-3",IF(Table1[[#This Row],[YearsAtCompany]]&lt;=6,"4-6","7+")))</f>
        <v>7+</v>
      </c>
      <c r="AH50">
        <f>Table1[[#This Row],[MonthlyIncome]]*12*0.75</f>
        <v>51948</v>
      </c>
      <c r="AI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0">
        <f>IF(Table1[[#This Row],[Attrition]]="Yes",Table1[[#This Row],[EstReplacementCost]],0)</f>
        <v>0</v>
      </c>
    </row>
    <row r="51" spans="1:36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50</v>
      </c>
      <c r="P51">
        <v>4</v>
      </c>
      <c r="Q51" t="s">
        <v>48</v>
      </c>
      <c r="R51">
        <v>2269</v>
      </c>
      <c r="S51">
        <v>4892</v>
      </c>
      <c r="T51">
        <v>1</v>
      </c>
      <c r="U51" t="s">
        <v>43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tr">
        <f>IF(Table1[[#This Row],[YearsAtCompany]]&lt;1,"0-1",IF(Table1[[#This Row],[YearsAtCompany]]&lt;=3,"1-3",IF(Table1[[#This Row],[YearsAtCompany]]&lt;=6,"4-6","7+")))</f>
        <v>1-3</v>
      </c>
      <c r="AH51">
        <f>Table1[[#This Row],[MonthlyIncome]]*12*0.75</f>
        <v>20421</v>
      </c>
      <c r="AI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1">
        <f>IF(Table1[[#This Row],[Attrition]]="Yes",Table1[[#This Row],[EstReplacementCost]],0)</f>
        <v>0</v>
      </c>
    </row>
    <row r="52" spans="1:36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50</v>
      </c>
      <c r="P52">
        <v>3</v>
      </c>
      <c r="Q52" t="s">
        <v>41</v>
      </c>
      <c r="R52">
        <v>5381</v>
      </c>
      <c r="S52">
        <v>19294</v>
      </c>
      <c r="T52">
        <v>9</v>
      </c>
      <c r="U52" t="s">
        <v>35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tr">
        <f>IF(Table1[[#This Row],[YearsAtCompany]]&lt;1,"0-1",IF(Table1[[#This Row],[YearsAtCompany]]&lt;=3,"1-3",IF(Table1[[#This Row],[YearsAtCompany]]&lt;=6,"4-6","7+")))</f>
        <v>1-3</v>
      </c>
      <c r="AH52">
        <f>Table1[[#This Row],[MonthlyIncome]]*12*0.75</f>
        <v>48429</v>
      </c>
      <c r="AI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2">
        <f>IF(Table1[[#This Row],[Attrition]]="Yes",Table1[[#This Row],[EstReplacementCost]],0)</f>
        <v>48429</v>
      </c>
    </row>
    <row r="53" spans="1:36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50</v>
      </c>
      <c r="P53">
        <v>3</v>
      </c>
      <c r="Q53" t="s">
        <v>41</v>
      </c>
      <c r="R53">
        <v>3441</v>
      </c>
      <c r="S53">
        <v>11179</v>
      </c>
      <c r="T53">
        <v>1</v>
      </c>
      <c r="U53" t="s">
        <v>35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f>IF(Table1[[#This Row],[YearsAtCompany]]&lt;1,"0-1",IF(Table1[[#This Row],[YearsAtCompany]]&lt;=3,"1-3",IF(Table1[[#This Row],[YearsAtCompany]]&lt;=6,"4-6","7+")))</f>
        <v>1-3</v>
      </c>
      <c r="AH53">
        <f>Table1[[#This Row],[MonthlyIncome]]*12*0.75</f>
        <v>30969</v>
      </c>
      <c r="AI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3">
        <f>IF(Table1[[#This Row],[Attrition]]="Yes",Table1[[#This Row],[EstReplacementCost]],0)</f>
        <v>30969</v>
      </c>
    </row>
    <row r="54" spans="1:36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52</v>
      </c>
      <c r="R54">
        <v>5454</v>
      </c>
      <c r="S54">
        <v>4009</v>
      </c>
      <c r="T54">
        <v>5</v>
      </c>
      <c r="U54" t="s">
        <v>35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tr">
        <f>IF(Table1[[#This Row],[YearsAtCompany]]&lt;1,"0-1",IF(Table1[[#This Row],[YearsAtCompany]]&lt;=3,"1-3",IF(Table1[[#This Row],[YearsAtCompany]]&lt;=6,"4-6","7+")))</f>
        <v>4-6</v>
      </c>
      <c r="AH54">
        <f>Table1[[#This Row],[MonthlyIncome]]*12*0.75</f>
        <v>49086</v>
      </c>
      <c r="AI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4">
        <f>IF(Table1[[#This Row],[Attrition]]="Yes",Table1[[#This Row],[EstReplacementCost]],0)</f>
        <v>0</v>
      </c>
    </row>
    <row r="55" spans="1:36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54</v>
      </c>
      <c r="P55">
        <v>1</v>
      </c>
      <c r="Q55" t="s">
        <v>48</v>
      </c>
      <c r="R55">
        <v>9884</v>
      </c>
      <c r="S55">
        <v>8302</v>
      </c>
      <c r="T55">
        <v>2</v>
      </c>
      <c r="U55" t="s">
        <v>35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tr">
        <f>IF(Table1[[#This Row],[YearsAtCompany]]&lt;1,"0-1",IF(Table1[[#This Row],[YearsAtCompany]]&lt;=3,"1-3",IF(Table1[[#This Row],[YearsAtCompany]]&lt;=6,"4-6","7+")))</f>
        <v>4-6</v>
      </c>
      <c r="AH55">
        <f>Table1[[#This Row],[MonthlyIncome]]*12*0.75</f>
        <v>88956</v>
      </c>
      <c r="AI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5">
        <f>IF(Table1[[#This Row],[Attrition]]="Yes",Table1[[#This Row],[EstReplacementCost]],0)</f>
        <v>0</v>
      </c>
    </row>
    <row r="56" spans="1:36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48</v>
      </c>
      <c r="R56">
        <v>4157</v>
      </c>
      <c r="S56">
        <v>21436</v>
      </c>
      <c r="T56">
        <v>7</v>
      </c>
      <c r="U56" t="s">
        <v>35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tr">
        <f>IF(Table1[[#This Row],[YearsAtCompany]]&lt;1,"0-1",IF(Table1[[#This Row],[YearsAtCompany]]&lt;=3,"1-3",IF(Table1[[#This Row],[YearsAtCompany]]&lt;=6,"4-6","7+")))</f>
        <v>1-3</v>
      </c>
      <c r="AH56">
        <f>Table1[[#This Row],[MonthlyIncome]]*12*0.75</f>
        <v>37413</v>
      </c>
      <c r="AI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6">
        <f>IF(Table1[[#This Row],[Attrition]]="Yes",Table1[[#This Row],[EstReplacementCost]],0)</f>
        <v>0</v>
      </c>
    </row>
    <row r="57" spans="1:36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58</v>
      </c>
      <c r="P57">
        <v>4</v>
      </c>
      <c r="Q57" t="s">
        <v>41</v>
      </c>
      <c r="R57">
        <v>13458</v>
      </c>
      <c r="S57">
        <v>15146</v>
      </c>
      <c r="T57">
        <v>1</v>
      </c>
      <c r="U57" t="s">
        <v>35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tr">
        <f>IF(Table1[[#This Row],[YearsAtCompany]]&lt;1,"0-1",IF(Table1[[#This Row],[YearsAtCompany]]&lt;=3,"1-3",IF(Table1[[#This Row],[YearsAtCompany]]&lt;=6,"4-6","7+")))</f>
        <v>7+</v>
      </c>
      <c r="AH57">
        <f>Table1[[#This Row],[MonthlyIncome]]*12*0.75</f>
        <v>121122</v>
      </c>
      <c r="AI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7">
        <f>IF(Table1[[#This Row],[Attrition]]="Yes",Table1[[#This Row],[EstReplacementCost]],0)</f>
        <v>0</v>
      </c>
    </row>
    <row r="58" spans="1:36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48</v>
      </c>
      <c r="R58">
        <v>9069</v>
      </c>
      <c r="S58">
        <v>11031</v>
      </c>
      <c r="T58">
        <v>1</v>
      </c>
      <c r="U58" t="s">
        <v>43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tr">
        <f>IF(Table1[[#This Row],[YearsAtCompany]]&lt;1,"0-1",IF(Table1[[#This Row],[YearsAtCompany]]&lt;=3,"1-3",IF(Table1[[#This Row],[YearsAtCompany]]&lt;=6,"4-6","7+")))</f>
        <v>7+</v>
      </c>
      <c r="AH58">
        <f>Table1[[#This Row],[MonthlyIncome]]*12*0.75</f>
        <v>81621</v>
      </c>
      <c r="AI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8">
        <f>IF(Table1[[#This Row],[Attrition]]="Yes",Table1[[#This Row],[EstReplacementCost]],0)</f>
        <v>0</v>
      </c>
    </row>
    <row r="59" spans="1:36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50</v>
      </c>
      <c r="P59">
        <v>1</v>
      </c>
      <c r="Q59" t="s">
        <v>48</v>
      </c>
      <c r="R59">
        <v>4014</v>
      </c>
      <c r="S59">
        <v>16002</v>
      </c>
      <c r="T59">
        <v>3</v>
      </c>
      <c r="U59" t="s">
        <v>35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tr">
        <f>IF(Table1[[#This Row],[YearsAtCompany]]&lt;1,"0-1",IF(Table1[[#This Row],[YearsAtCompany]]&lt;=3,"1-3",IF(Table1[[#This Row],[YearsAtCompany]]&lt;=6,"4-6","7+")))</f>
        <v>1-3</v>
      </c>
      <c r="AH59">
        <f>Table1[[#This Row],[MonthlyIncome]]*12*0.75</f>
        <v>36126</v>
      </c>
      <c r="AI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59">
        <f>IF(Table1[[#This Row],[Attrition]]="Yes",Table1[[#This Row],[EstReplacementCost]],0)</f>
        <v>0</v>
      </c>
    </row>
    <row r="60" spans="1:36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50</v>
      </c>
      <c r="P60">
        <v>4</v>
      </c>
      <c r="Q60" t="s">
        <v>52</v>
      </c>
      <c r="R60">
        <v>5915</v>
      </c>
      <c r="S60">
        <v>9528</v>
      </c>
      <c r="T60">
        <v>3</v>
      </c>
      <c r="U60" t="s">
        <v>43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tr">
        <f>IF(Table1[[#This Row],[YearsAtCompany]]&lt;1,"0-1",IF(Table1[[#This Row],[YearsAtCompany]]&lt;=3,"1-3",IF(Table1[[#This Row],[YearsAtCompany]]&lt;=6,"4-6","7+")))</f>
        <v>7+</v>
      </c>
      <c r="AH60">
        <f>Table1[[#This Row],[MonthlyIncome]]*12*0.75</f>
        <v>53235</v>
      </c>
      <c r="AI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0">
        <f>IF(Table1[[#This Row],[Attrition]]="Yes",Table1[[#This Row],[EstReplacementCost]],0)</f>
        <v>0</v>
      </c>
    </row>
    <row r="61" spans="1:36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53</v>
      </c>
      <c r="P61">
        <v>3</v>
      </c>
      <c r="Q61" t="s">
        <v>52</v>
      </c>
      <c r="R61">
        <v>5993</v>
      </c>
      <c r="S61">
        <v>2689</v>
      </c>
      <c r="T61">
        <v>1</v>
      </c>
      <c r="U61" t="s">
        <v>43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tr">
        <f>IF(Table1[[#This Row],[YearsAtCompany]]&lt;1,"0-1",IF(Table1[[#This Row],[YearsAtCompany]]&lt;=3,"1-3",IF(Table1[[#This Row],[YearsAtCompany]]&lt;=6,"4-6","7+")))</f>
        <v>7+</v>
      </c>
      <c r="AH61">
        <f>Table1[[#This Row],[MonthlyIncome]]*12*0.75</f>
        <v>53937</v>
      </c>
      <c r="AI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1">
        <f>IF(Table1[[#This Row],[Attrition]]="Yes",Table1[[#This Row],[EstReplacementCost]],0)</f>
        <v>0</v>
      </c>
    </row>
    <row r="62" spans="1:36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53</v>
      </c>
      <c r="P62">
        <v>4</v>
      </c>
      <c r="Q62" t="s">
        <v>48</v>
      </c>
      <c r="R62">
        <v>6162</v>
      </c>
      <c r="S62">
        <v>10877</v>
      </c>
      <c r="T62">
        <v>1</v>
      </c>
      <c r="U62" t="s">
        <v>35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tr">
        <f>IF(Table1[[#This Row],[YearsAtCompany]]&lt;1,"0-1",IF(Table1[[#This Row],[YearsAtCompany]]&lt;=3,"1-3",IF(Table1[[#This Row],[YearsAtCompany]]&lt;=6,"4-6","7+")))</f>
        <v>7+</v>
      </c>
      <c r="AH62">
        <f>Table1[[#This Row],[MonthlyIncome]]*12*0.75</f>
        <v>55458</v>
      </c>
      <c r="AI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2">
        <f>IF(Table1[[#This Row],[Attrition]]="Yes",Table1[[#This Row],[EstReplacementCost]],0)</f>
        <v>0</v>
      </c>
    </row>
    <row r="63" spans="1:36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50</v>
      </c>
      <c r="P63">
        <v>4</v>
      </c>
      <c r="Q63" t="s">
        <v>41</v>
      </c>
      <c r="R63">
        <v>2406</v>
      </c>
      <c r="S63">
        <v>5456</v>
      </c>
      <c r="T63">
        <v>1</v>
      </c>
      <c r="U63" t="s">
        <v>43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tr">
        <f>IF(Table1[[#This Row],[YearsAtCompany]]&lt;1,"0-1",IF(Table1[[#This Row],[YearsAtCompany]]&lt;=3,"1-3",IF(Table1[[#This Row],[YearsAtCompany]]&lt;=6,"4-6","7+")))</f>
        <v>7+</v>
      </c>
      <c r="AH63">
        <f>Table1[[#This Row],[MonthlyIncome]]*12*0.75</f>
        <v>21654</v>
      </c>
      <c r="AI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3">
        <f>IF(Table1[[#This Row],[Attrition]]="Yes",Table1[[#This Row],[EstReplacementCost]],0)</f>
        <v>0</v>
      </c>
    </row>
    <row r="64" spans="1:36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58</v>
      </c>
      <c r="P64">
        <v>3</v>
      </c>
      <c r="Q64" t="s">
        <v>52</v>
      </c>
      <c r="R64">
        <v>18740</v>
      </c>
      <c r="S64">
        <v>16701</v>
      </c>
      <c r="T64">
        <v>5</v>
      </c>
      <c r="U64" t="s">
        <v>35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tr">
        <f>IF(Table1[[#This Row],[YearsAtCompany]]&lt;1,"0-1",IF(Table1[[#This Row],[YearsAtCompany]]&lt;=3,"1-3",IF(Table1[[#This Row],[YearsAtCompany]]&lt;=6,"4-6","7+")))</f>
        <v>7+</v>
      </c>
      <c r="AH64">
        <f>Table1[[#This Row],[MonthlyIncome]]*12*0.75</f>
        <v>168660</v>
      </c>
      <c r="AI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4">
        <f>IF(Table1[[#This Row],[Attrition]]="Yes",Table1[[#This Row],[EstReplacementCost]],0)</f>
        <v>0</v>
      </c>
    </row>
    <row r="65" spans="1:36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>
        <v>7637</v>
      </c>
      <c r="S65">
        <v>2354</v>
      </c>
      <c r="T65">
        <v>7</v>
      </c>
      <c r="U65" t="s">
        <v>43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tr">
        <f>IF(Table1[[#This Row],[YearsAtCompany]]&lt;1,"0-1",IF(Table1[[#This Row],[YearsAtCompany]]&lt;=3,"1-3",IF(Table1[[#This Row],[YearsAtCompany]]&lt;=6,"4-6","7+")))</f>
        <v>7+</v>
      </c>
      <c r="AH65">
        <f>Table1[[#This Row],[MonthlyIncome]]*12*0.75</f>
        <v>68733</v>
      </c>
      <c r="AI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5">
        <f>IF(Table1[[#This Row],[Attrition]]="Yes",Table1[[#This Row],[EstReplacementCost]],0)</f>
        <v>0</v>
      </c>
    </row>
    <row r="66" spans="1:36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54</v>
      </c>
      <c r="P66">
        <v>3</v>
      </c>
      <c r="Q66" t="s">
        <v>52</v>
      </c>
      <c r="R66">
        <v>10096</v>
      </c>
      <c r="S66">
        <v>8202</v>
      </c>
      <c r="T66">
        <v>1</v>
      </c>
      <c r="U66" t="s">
        <v>43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tr">
        <f>IF(Table1[[#This Row],[YearsAtCompany]]&lt;1,"0-1",IF(Table1[[#This Row],[YearsAtCompany]]&lt;=3,"1-3",IF(Table1[[#This Row],[YearsAtCompany]]&lt;=6,"4-6","7+")))</f>
        <v>7+</v>
      </c>
      <c r="AH66">
        <f>Table1[[#This Row],[MonthlyIncome]]*12*0.75</f>
        <v>90864</v>
      </c>
      <c r="AI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6">
        <f>IF(Table1[[#This Row],[Attrition]]="Yes",Table1[[#This Row],[EstReplacementCost]],0)</f>
        <v>0</v>
      </c>
    </row>
    <row r="67" spans="1:36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56</v>
      </c>
      <c r="P67">
        <v>3</v>
      </c>
      <c r="Q67" t="s">
        <v>52</v>
      </c>
      <c r="R67">
        <v>14756</v>
      </c>
      <c r="S67">
        <v>19730</v>
      </c>
      <c r="T67">
        <v>2</v>
      </c>
      <c r="U67" t="s">
        <v>35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tr">
        <f>IF(Table1[[#This Row],[YearsAtCompany]]&lt;1,"0-1",IF(Table1[[#This Row],[YearsAtCompany]]&lt;=3,"1-3",IF(Table1[[#This Row],[YearsAtCompany]]&lt;=6,"4-6","7+")))</f>
        <v>4-6</v>
      </c>
      <c r="AH67">
        <f>Table1[[#This Row],[MonthlyIncome]]*12*0.75</f>
        <v>132804</v>
      </c>
      <c r="AI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7">
        <f>IF(Table1[[#This Row],[Attrition]]="Yes",Table1[[#This Row],[EstReplacementCost]],0)</f>
        <v>0</v>
      </c>
    </row>
    <row r="68" spans="1:36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53</v>
      </c>
      <c r="P68">
        <v>2</v>
      </c>
      <c r="Q68" t="s">
        <v>41</v>
      </c>
      <c r="R68">
        <v>6499</v>
      </c>
      <c r="S68">
        <v>22656</v>
      </c>
      <c r="T68">
        <v>1</v>
      </c>
      <c r="U68" t="s">
        <v>43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tr">
        <f>IF(Table1[[#This Row],[YearsAtCompany]]&lt;1,"0-1",IF(Table1[[#This Row],[YearsAtCompany]]&lt;=3,"1-3",IF(Table1[[#This Row],[YearsAtCompany]]&lt;=6,"4-6","7+")))</f>
        <v>4-6</v>
      </c>
      <c r="AH68">
        <f>Table1[[#This Row],[MonthlyIncome]]*12*0.75</f>
        <v>58491</v>
      </c>
      <c r="AI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8">
        <f>IF(Table1[[#This Row],[Attrition]]="Yes",Table1[[#This Row],[EstReplacementCost]],0)</f>
        <v>0</v>
      </c>
    </row>
    <row r="69" spans="1:36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47</v>
      </c>
      <c r="P69">
        <v>1</v>
      </c>
      <c r="Q69" t="s">
        <v>52</v>
      </c>
      <c r="R69">
        <v>9724</v>
      </c>
      <c r="S69">
        <v>18787</v>
      </c>
      <c r="T69">
        <v>2</v>
      </c>
      <c r="U69" t="s">
        <v>43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tr">
        <f>IF(Table1[[#This Row],[YearsAtCompany]]&lt;1,"0-1",IF(Table1[[#This Row],[YearsAtCompany]]&lt;=3,"1-3",IF(Table1[[#This Row],[YearsAtCompany]]&lt;=6,"4-6","7+")))</f>
        <v>1-3</v>
      </c>
      <c r="AH69">
        <f>Table1[[#This Row],[MonthlyIncome]]*12*0.75</f>
        <v>87516</v>
      </c>
      <c r="AI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9">
        <f>IF(Table1[[#This Row],[Attrition]]="Yes",Table1[[#This Row],[EstReplacementCost]],0)</f>
        <v>0</v>
      </c>
    </row>
    <row r="70" spans="1:36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47</v>
      </c>
      <c r="P70">
        <v>1</v>
      </c>
      <c r="Q70" t="s">
        <v>48</v>
      </c>
      <c r="R70">
        <v>2194</v>
      </c>
      <c r="S70">
        <v>5868</v>
      </c>
      <c r="T70">
        <v>4</v>
      </c>
      <c r="U70" t="s">
        <v>43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tr">
        <f>IF(Table1[[#This Row],[YearsAtCompany]]&lt;1,"0-1",IF(Table1[[#This Row],[YearsAtCompany]]&lt;=3,"1-3",IF(Table1[[#This Row],[YearsAtCompany]]&lt;=6,"4-6","7+")))</f>
        <v>1-3</v>
      </c>
      <c r="AH70">
        <f>Table1[[#This Row],[MonthlyIncome]]*12*0.75</f>
        <v>19746</v>
      </c>
      <c r="AI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0">
        <f>IF(Table1[[#This Row],[Attrition]]="Yes",Table1[[#This Row],[EstReplacementCost]],0)</f>
        <v>0</v>
      </c>
    </row>
    <row r="71" spans="1:36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47</v>
      </c>
      <c r="P71">
        <v>3</v>
      </c>
      <c r="Q71" t="s">
        <v>48</v>
      </c>
      <c r="R71">
        <v>3388</v>
      </c>
      <c r="S71">
        <v>21777</v>
      </c>
      <c r="T71">
        <v>0</v>
      </c>
      <c r="U71" t="s">
        <v>35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tr">
        <f>IF(Table1[[#This Row],[YearsAtCompany]]&lt;1,"0-1",IF(Table1[[#This Row],[YearsAtCompany]]&lt;=3,"1-3",IF(Table1[[#This Row],[YearsAtCompany]]&lt;=6,"4-6","7+")))</f>
        <v>1-3</v>
      </c>
      <c r="AH71">
        <f>Table1[[#This Row],[MonthlyIncome]]*12*0.75</f>
        <v>30492</v>
      </c>
      <c r="AI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1">
        <f>IF(Table1[[#This Row],[Attrition]]="Yes",Table1[[#This Row],[EstReplacementCost]],0)</f>
        <v>30492</v>
      </c>
    </row>
    <row r="72" spans="1:36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>
        <v>5473</v>
      </c>
      <c r="S72">
        <v>24668</v>
      </c>
      <c r="T72">
        <v>7</v>
      </c>
      <c r="U72" t="s">
        <v>43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tr">
        <f>IF(Table1[[#This Row],[YearsAtCompany]]&lt;1,"0-1",IF(Table1[[#This Row],[YearsAtCompany]]&lt;=3,"1-3",IF(Table1[[#This Row],[YearsAtCompany]]&lt;=6,"4-6","7+")))</f>
        <v>4-6</v>
      </c>
      <c r="AH72">
        <f>Table1[[#This Row],[MonthlyIncome]]*12*0.75</f>
        <v>49257</v>
      </c>
      <c r="AI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2">
        <f>IF(Table1[[#This Row],[Attrition]]="Yes",Table1[[#This Row],[EstReplacementCost]],0)</f>
        <v>0</v>
      </c>
    </row>
    <row r="73" spans="1:36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47</v>
      </c>
      <c r="P73">
        <v>2</v>
      </c>
      <c r="Q73" t="s">
        <v>48</v>
      </c>
      <c r="R73">
        <v>2703</v>
      </c>
      <c r="S73">
        <v>4956</v>
      </c>
      <c r="T73">
        <v>0</v>
      </c>
      <c r="U73" t="s">
        <v>43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tr">
        <f>IF(Table1[[#This Row],[YearsAtCompany]]&lt;1,"0-1",IF(Table1[[#This Row],[YearsAtCompany]]&lt;=3,"1-3",IF(Table1[[#This Row],[YearsAtCompany]]&lt;=6,"4-6","7+")))</f>
        <v>4-6</v>
      </c>
      <c r="AH73">
        <f>Table1[[#This Row],[MonthlyIncome]]*12*0.75</f>
        <v>24327</v>
      </c>
      <c r="AI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3">
        <f>IF(Table1[[#This Row],[Attrition]]="Yes",Table1[[#This Row],[EstReplacementCost]],0)</f>
        <v>0</v>
      </c>
    </row>
    <row r="74" spans="1:36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47</v>
      </c>
      <c r="P74">
        <v>2</v>
      </c>
      <c r="Q74" t="s">
        <v>41</v>
      </c>
      <c r="R74">
        <v>2501</v>
      </c>
      <c r="S74">
        <v>18775</v>
      </c>
      <c r="T74">
        <v>1</v>
      </c>
      <c r="U74" t="s">
        <v>43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tr">
        <f>IF(Table1[[#This Row],[YearsAtCompany]]&lt;1,"0-1",IF(Table1[[#This Row],[YearsAtCompany]]&lt;=3,"1-3",IF(Table1[[#This Row],[YearsAtCompany]]&lt;=6,"4-6","7+")))</f>
        <v>1-3</v>
      </c>
      <c r="AH74">
        <f>Table1[[#This Row],[MonthlyIncome]]*12*0.75</f>
        <v>22509</v>
      </c>
      <c r="AI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4">
        <f>IF(Table1[[#This Row],[Attrition]]="Yes",Table1[[#This Row],[EstReplacementCost]],0)</f>
        <v>0</v>
      </c>
    </row>
    <row r="75" spans="1:36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47</v>
      </c>
      <c r="P75">
        <v>2</v>
      </c>
      <c r="Q75" t="s">
        <v>48</v>
      </c>
      <c r="R75">
        <v>6220</v>
      </c>
      <c r="S75">
        <v>7346</v>
      </c>
      <c r="T75">
        <v>1</v>
      </c>
      <c r="U75" t="s">
        <v>43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tr">
        <f>IF(Table1[[#This Row],[YearsAtCompany]]&lt;1,"0-1",IF(Table1[[#This Row],[YearsAtCompany]]&lt;=3,"1-3",IF(Table1[[#This Row],[YearsAtCompany]]&lt;=6,"4-6","7+")))</f>
        <v>7+</v>
      </c>
      <c r="AH75">
        <f>Table1[[#This Row],[MonthlyIncome]]*12*0.75</f>
        <v>55980</v>
      </c>
      <c r="AI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5">
        <f>IF(Table1[[#This Row],[Attrition]]="Yes",Table1[[#This Row],[EstReplacementCost]],0)</f>
        <v>0</v>
      </c>
    </row>
    <row r="76" spans="1:36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50</v>
      </c>
      <c r="P76">
        <v>4</v>
      </c>
      <c r="Q76" t="s">
        <v>48</v>
      </c>
      <c r="R76">
        <v>3038</v>
      </c>
      <c r="S76">
        <v>22002</v>
      </c>
      <c r="T76">
        <v>3</v>
      </c>
      <c r="U76" t="s">
        <v>43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tr">
        <f>IF(Table1[[#This Row],[YearsAtCompany]]&lt;1,"0-1",IF(Table1[[#This Row],[YearsAtCompany]]&lt;=3,"1-3",IF(Table1[[#This Row],[YearsAtCompany]]&lt;=6,"4-6","7+")))</f>
        <v>1-3</v>
      </c>
      <c r="AH76">
        <f>Table1[[#This Row],[MonthlyIncome]]*12*0.75</f>
        <v>27342</v>
      </c>
      <c r="AI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6">
        <f>IF(Table1[[#This Row],[Attrition]]="Yes",Table1[[#This Row],[EstReplacementCost]],0)</f>
        <v>0</v>
      </c>
    </row>
    <row r="77" spans="1:36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53</v>
      </c>
      <c r="P77">
        <v>4</v>
      </c>
      <c r="Q77" t="s">
        <v>41</v>
      </c>
      <c r="R77">
        <v>4424</v>
      </c>
      <c r="S77">
        <v>20682</v>
      </c>
      <c r="T77">
        <v>1</v>
      </c>
      <c r="U77" t="s">
        <v>43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tr">
        <f>IF(Table1[[#This Row],[YearsAtCompany]]&lt;1,"0-1",IF(Table1[[#This Row],[YearsAtCompany]]&lt;=3,"1-3",IF(Table1[[#This Row],[YearsAtCompany]]&lt;=6,"4-6","7+")))</f>
        <v>7+</v>
      </c>
      <c r="AH77">
        <f>Table1[[#This Row],[MonthlyIncome]]*12*0.75</f>
        <v>39816</v>
      </c>
      <c r="AI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7">
        <f>IF(Table1[[#This Row],[Attrition]]="Yes",Table1[[#This Row],[EstReplacementCost]],0)</f>
        <v>0</v>
      </c>
    </row>
    <row r="78" spans="1:36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>
        <v>4312</v>
      </c>
      <c r="S78">
        <v>23016</v>
      </c>
      <c r="T78">
        <v>0</v>
      </c>
      <c r="U78" t="s">
        <v>43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tr">
        <f>IF(Table1[[#This Row],[YearsAtCompany]]&lt;1,"0-1",IF(Table1[[#This Row],[YearsAtCompany]]&lt;=3,"1-3",IF(Table1[[#This Row],[YearsAtCompany]]&lt;=6,"4-6","7+")))</f>
        <v>7+</v>
      </c>
      <c r="AH78">
        <f>Table1[[#This Row],[MonthlyIncome]]*12*0.75</f>
        <v>38808</v>
      </c>
      <c r="AI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8">
        <f>IF(Table1[[#This Row],[Attrition]]="Yes",Table1[[#This Row],[EstReplacementCost]],0)</f>
        <v>0</v>
      </c>
    </row>
    <row r="79" spans="1:36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58</v>
      </c>
      <c r="P79">
        <v>1</v>
      </c>
      <c r="Q79" t="s">
        <v>48</v>
      </c>
      <c r="R79">
        <v>13245</v>
      </c>
      <c r="S79">
        <v>15067</v>
      </c>
      <c r="T79">
        <v>4</v>
      </c>
      <c r="U79" t="s">
        <v>35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tr">
        <f>IF(Table1[[#This Row],[YearsAtCompany]]&lt;1,"0-1",IF(Table1[[#This Row],[YearsAtCompany]]&lt;=3,"1-3",IF(Table1[[#This Row],[YearsAtCompany]]&lt;=6,"4-6","7+")))</f>
        <v>0-1</v>
      </c>
      <c r="AH79">
        <f>Table1[[#This Row],[MonthlyIncome]]*12*0.75</f>
        <v>119205</v>
      </c>
      <c r="AI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79">
        <f>IF(Table1[[#This Row],[Attrition]]="Yes",Table1[[#This Row],[EstReplacementCost]],0)</f>
        <v>0</v>
      </c>
    </row>
    <row r="80" spans="1:36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58</v>
      </c>
      <c r="P80">
        <v>3</v>
      </c>
      <c r="Q80" t="s">
        <v>41</v>
      </c>
      <c r="R80">
        <v>13664</v>
      </c>
      <c r="S80">
        <v>25258</v>
      </c>
      <c r="T80">
        <v>4</v>
      </c>
      <c r="U80" t="s">
        <v>43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tr">
        <f>IF(Table1[[#This Row],[YearsAtCompany]]&lt;1,"0-1",IF(Table1[[#This Row],[YearsAtCompany]]&lt;=3,"1-3",IF(Table1[[#This Row],[YearsAtCompany]]&lt;=6,"4-6","7+")))</f>
        <v>4-6</v>
      </c>
      <c r="AH80">
        <f>Table1[[#This Row],[MonthlyIncome]]*12*0.75</f>
        <v>122976</v>
      </c>
      <c r="AI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0">
        <f>IF(Table1[[#This Row],[Attrition]]="Yes",Table1[[#This Row],[EstReplacementCost]],0)</f>
        <v>0</v>
      </c>
    </row>
    <row r="81" spans="1:36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61</v>
      </c>
      <c r="P81">
        <v>2</v>
      </c>
      <c r="Q81" t="s">
        <v>52</v>
      </c>
      <c r="R81">
        <v>5021</v>
      </c>
      <c r="S81">
        <v>10425</v>
      </c>
      <c r="T81">
        <v>8</v>
      </c>
      <c r="U81" t="s">
        <v>35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tr">
        <f>IF(Table1[[#This Row],[YearsAtCompany]]&lt;1,"0-1",IF(Table1[[#This Row],[YearsAtCompany]]&lt;=3,"1-3",IF(Table1[[#This Row],[YearsAtCompany]]&lt;=6,"4-6","7+")))</f>
        <v>4-6</v>
      </c>
      <c r="AH81">
        <f>Table1[[#This Row],[MonthlyIncome]]*12*0.75</f>
        <v>45189</v>
      </c>
      <c r="AI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1">
        <f>IF(Table1[[#This Row],[Attrition]]="Yes",Table1[[#This Row],[EstReplacementCost]],0)</f>
        <v>0</v>
      </c>
    </row>
    <row r="82" spans="1:36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50</v>
      </c>
      <c r="P82">
        <v>4</v>
      </c>
      <c r="Q82" t="s">
        <v>48</v>
      </c>
      <c r="R82">
        <v>5126</v>
      </c>
      <c r="S82">
        <v>15998</v>
      </c>
      <c r="T82">
        <v>1</v>
      </c>
      <c r="U82" t="s">
        <v>35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tr">
        <f>IF(Table1[[#This Row],[YearsAtCompany]]&lt;1,"0-1",IF(Table1[[#This Row],[YearsAtCompany]]&lt;=3,"1-3",IF(Table1[[#This Row],[YearsAtCompany]]&lt;=6,"4-6","7+")))</f>
        <v>7+</v>
      </c>
      <c r="AH82">
        <f>Table1[[#This Row],[MonthlyIncome]]*12*0.75</f>
        <v>46134</v>
      </c>
      <c r="AI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2">
        <f>IF(Table1[[#This Row],[Attrition]]="Yes",Table1[[#This Row],[EstReplacementCost]],0)</f>
        <v>0</v>
      </c>
    </row>
    <row r="83" spans="1:36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47</v>
      </c>
      <c r="P83">
        <v>3</v>
      </c>
      <c r="Q83" t="s">
        <v>41</v>
      </c>
      <c r="R83">
        <v>2859</v>
      </c>
      <c r="S83">
        <v>26278</v>
      </c>
      <c r="T83">
        <v>1</v>
      </c>
      <c r="U83" t="s">
        <v>43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tr">
        <f>IF(Table1[[#This Row],[YearsAtCompany]]&lt;1,"0-1",IF(Table1[[#This Row],[YearsAtCompany]]&lt;=3,"1-3",IF(Table1[[#This Row],[YearsAtCompany]]&lt;=6,"4-6","7+")))</f>
        <v>4-6</v>
      </c>
      <c r="AH83">
        <f>Table1[[#This Row],[MonthlyIncome]]*12*0.75</f>
        <v>25731</v>
      </c>
      <c r="AI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3">
        <f>IF(Table1[[#This Row],[Attrition]]="Yes",Table1[[#This Row],[EstReplacementCost]],0)</f>
        <v>0</v>
      </c>
    </row>
    <row r="84" spans="1:36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48</v>
      </c>
      <c r="R84">
        <v>10239</v>
      </c>
      <c r="S84">
        <v>18092</v>
      </c>
      <c r="T84">
        <v>3</v>
      </c>
      <c r="U84" t="s">
        <v>43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tr">
        <f>IF(Table1[[#This Row],[YearsAtCompany]]&lt;1,"0-1",IF(Table1[[#This Row],[YearsAtCompany]]&lt;=3,"1-3",IF(Table1[[#This Row],[YearsAtCompany]]&lt;=6,"4-6","7+")))</f>
        <v>1-3</v>
      </c>
      <c r="AH84">
        <f>Table1[[#This Row],[MonthlyIncome]]*12*0.75</f>
        <v>92151</v>
      </c>
      <c r="AI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4">
        <f>IF(Table1[[#This Row],[Attrition]]="Yes",Table1[[#This Row],[EstReplacementCost]],0)</f>
        <v>0</v>
      </c>
    </row>
    <row r="85" spans="1:36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47</v>
      </c>
      <c r="P85">
        <v>4</v>
      </c>
      <c r="Q85" t="s">
        <v>52</v>
      </c>
      <c r="R85">
        <v>5329</v>
      </c>
      <c r="S85">
        <v>15717</v>
      </c>
      <c r="T85">
        <v>7</v>
      </c>
      <c r="U85" t="s">
        <v>35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tr">
        <f>IF(Table1[[#This Row],[YearsAtCompany]]&lt;1,"0-1",IF(Table1[[#This Row],[YearsAtCompany]]&lt;=3,"1-3",IF(Table1[[#This Row],[YearsAtCompany]]&lt;=6,"4-6","7+")))</f>
        <v>7+</v>
      </c>
      <c r="AH85">
        <f>Table1[[#This Row],[MonthlyIncome]]*12*0.75</f>
        <v>47961</v>
      </c>
      <c r="AI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5">
        <f>IF(Table1[[#This Row],[Attrition]]="Yes",Table1[[#This Row],[EstReplacementCost]],0)</f>
        <v>0</v>
      </c>
    </row>
    <row r="86" spans="1:36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53</v>
      </c>
      <c r="P86">
        <v>2</v>
      </c>
      <c r="Q86" t="s">
        <v>48</v>
      </c>
      <c r="R86">
        <v>4325</v>
      </c>
      <c r="S86">
        <v>17736</v>
      </c>
      <c r="T86">
        <v>1</v>
      </c>
      <c r="U86" t="s">
        <v>43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tr">
        <f>IF(Table1[[#This Row],[YearsAtCompany]]&lt;1,"0-1",IF(Table1[[#This Row],[YearsAtCompany]]&lt;=3,"1-3",IF(Table1[[#This Row],[YearsAtCompany]]&lt;=6,"4-6","7+")))</f>
        <v>4-6</v>
      </c>
      <c r="AH86">
        <f>Table1[[#This Row],[MonthlyIncome]]*12*0.75</f>
        <v>38925</v>
      </c>
      <c r="AI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6">
        <f>IF(Table1[[#This Row],[Attrition]]="Yes",Table1[[#This Row],[EstReplacementCost]],0)</f>
        <v>0</v>
      </c>
    </row>
    <row r="87" spans="1:36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53</v>
      </c>
      <c r="P87">
        <v>4</v>
      </c>
      <c r="Q87" t="s">
        <v>41</v>
      </c>
      <c r="R87">
        <v>7260</v>
      </c>
      <c r="S87">
        <v>21698</v>
      </c>
      <c r="T87">
        <v>4</v>
      </c>
      <c r="U87" t="s">
        <v>43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tr">
        <f>IF(Table1[[#This Row],[YearsAtCompany]]&lt;1,"0-1",IF(Table1[[#This Row],[YearsAtCompany]]&lt;=3,"1-3",IF(Table1[[#This Row],[YearsAtCompany]]&lt;=6,"4-6","7+")))</f>
        <v>4-6</v>
      </c>
      <c r="AH87">
        <f>Table1[[#This Row],[MonthlyIncome]]*12*0.75</f>
        <v>65340</v>
      </c>
      <c r="AI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7">
        <f>IF(Table1[[#This Row],[Attrition]]="Yes",Table1[[#This Row],[EstReplacementCost]],0)</f>
        <v>0</v>
      </c>
    </row>
    <row r="88" spans="1:36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57</v>
      </c>
      <c r="P88">
        <v>1</v>
      </c>
      <c r="Q88" t="s">
        <v>52</v>
      </c>
      <c r="R88">
        <v>2322</v>
      </c>
      <c r="S88">
        <v>9518</v>
      </c>
      <c r="T88">
        <v>3</v>
      </c>
      <c r="U88" t="s">
        <v>43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tr">
        <f>IF(Table1[[#This Row],[YearsAtCompany]]&lt;1,"0-1",IF(Table1[[#This Row],[YearsAtCompany]]&lt;=3,"1-3",IF(Table1[[#This Row],[YearsAtCompany]]&lt;=6,"4-6","7+")))</f>
        <v>0-1</v>
      </c>
      <c r="AH88">
        <f>Table1[[#This Row],[MonthlyIncome]]*12*0.75</f>
        <v>20898</v>
      </c>
      <c r="AI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8">
        <f>IF(Table1[[#This Row],[Attrition]]="Yes",Table1[[#This Row],[EstReplacementCost]],0)</f>
        <v>0</v>
      </c>
    </row>
    <row r="89" spans="1:36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50</v>
      </c>
      <c r="P89">
        <v>4</v>
      </c>
      <c r="Q89" t="s">
        <v>48</v>
      </c>
      <c r="R89">
        <v>2075</v>
      </c>
      <c r="S89">
        <v>18725</v>
      </c>
      <c r="T89">
        <v>3</v>
      </c>
      <c r="U89" t="s">
        <v>43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tr">
        <f>IF(Table1[[#This Row],[YearsAtCompany]]&lt;1,"0-1",IF(Table1[[#This Row],[YearsAtCompany]]&lt;=3,"1-3",IF(Table1[[#This Row],[YearsAtCompany]]&lt;=6,"4-6","7+")))</f>
        <v>4-6</v>
      </c>
      <c r="AH89">
        <f>Table1[[#This Row],[MonthlyIncome]]*12*0.75</f>
        <v>18675</v>
      </c>
      <c r="AI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9">
        <f>IF(Table1[[#This Row],[Attrition]]="Yes",Table1[[#This Row],[EstReplacementCost]],0)</f>
        <v>0</v>
      </c>
    </row>
    <row r="90" spans="1:36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54</v>
      </c>
      <c r="P90">
        <v>4</v>
      </c>
      <c r="Q90" t="s">
        <v>48</v>
      </c>
      <c r="R90">
        <v>4152</v>
      </c>
      <c r="S90">
        <v>15830</v>
      </c>
      <c r="T90">
        <v>1</v>
      </c>
      <c r="U90" t="s">
        <v>43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tr">
        <f>IF(Table1[[#This Row],[YearsAtCompany]]&lt;1,"0-1",IF(Table1[[#This Row],[YearsAtCompany]]&lt;=3,"1-3",IF(Table1[[#This Row],[YearsAtCompany]]&lt;=6,"4-6","7+")))</f>
        <v>7+</v>
      </c>
      <c r="AH90">
        <f>Table1[[#This Row],[MonthlyIncome]]*12*0.75</f>
        <v>37368</v>
      </c>
      <c r="AI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0">
        <f>IF(Table1[[#This Row],[Attrition]]="Yes",Table1[[#This Row],[EstReplacementCost]],0)</f>
        <v>0</v>
      </c>
    </row>
    <row r="91" spans="1:36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>
        <v>9619</v>
      </c>
      <c r="S91">
        <v>13596</v>
      </c>
      <c r="T91">
        <v>1</v>
      </c>
      <c r="U91" t="s">
        <v>43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tr">
        <f>IF(Table1[[#This Row],[YearsAtCompany]]&lt;1,"0-1",IF(Table1[[#This Row],[YearsAtCompany]]&lt;=3,"1-3",IF(Table1[[#This Row],[YearsAtCompany]]&lt;=6,"4-6","7+")))</f>
        <v>7+</v>
      </c>
      <c r="AH91">
        <f>Table1[[#This Row],[MonthlyIncome]]*12*0.75</f>
        <v>86571</v>
      </c>
      <c r="AI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1">
        <f>IF(Table1[[#This Row],[Attrition]]="Yes",Table1[[#This Row],[EstReplacementCost]],0)</f>
        <v>86571</v>
      </c>
    </row>
    <row r="92" spans="1:36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54</v>
      </c>
      <c r="P92">
        <v>2</v>
      </c>
      <c r="Q92" t="s">
        <v>48</v>
      </c>
      <c r="R92">
        <v>13503</v>
      </c>
      <c r="S92">
        <v>14115</v>
      </c>
      <c r="T92">
        <v>1</v>
      </c>
      <c r="U92" t="s">
        <v>43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tr">
        <f>IF(Table1[[#This Row],[YearsAtCompany]]&lt;1,"0-1",IF(Table1[[#This Row],[YearsAtCompany]]&lt;=3,"1-3",IF(Table1[[#This Row],[YearsAtCompany]]&lt;=6,"4-6","7+")))</f>
        <v>7+</v>
      </c>
      <c r="AH92">
        <f>Table1[[#This Row],[MonthlyIncome]]*12*0.75</f>
        <v>121527</v>
      </c>
      <c r="AI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2">
        <f>IF(Table1[[#This Row],[Attrition]]="Yes",Table1[[#This Row],[EstReplacementCost]],0)</f>
        <v>0</v>
      </c>
    </row>
    <row r="93" spans="1:36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>
        <v>5441</v>
      </c>
      <c r="S93">
        <v>8423</v>
      </c>
      <c r="T93">
        <v>0</v>
      </c>
      <c r="U93" t="s">
        <v>35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tr">
        <f>IF(Table1[[#This Row],[YearsAtCompany]]&lt;1,"0-1",IF(Table1[[#This Row],[YearsAtCompany]]&lt;=3,"1-3",IF(Table1[[#This Row],[YearsAtCompany]]&lt;=6,"4-6","7+")))</f>
        <v>7+</v>
      </c>
      <c r="AH93">
        <f>Table1[[#This Row],[MonthlyIncome]]*12*0.75</f>
        <v>48969</v>
      </c>
      <c r="AI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3">
        <f>IF(Table1[[#This Row],[Attrition]]="Yes",Table1[[#This Row],[EstReplacementCost]],0)</f>
        <v>0</v>
      </c>
    </row>
    <row r="94" spans="1:36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52</v>
      </c>
      <c r="R94">
        <v>5209</v>
      </c>
      <c r="S94">
        <v>19760</v>
      </c>
      <c r="T94">
        <v>1</v>
      </c>
      <c r="U94" t="s">
        <v>35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tr">
        <f>IF(Table1[[#This Row],[YearsAtCompany]]&lt;1,"0-1",IF(Table1[[#This Row],[YearsAtCompany]]&lt;=3,"1-3",IF(Table1[[#This Row],[YearsAtCompany]]&lt;=6,"4-6","7+")))</f>
        <v>7+</v>
      </c>
      <c r="AH94">
        <f>Table1[[#This Row],[MonthlyIncome]]*12*0.75</f>
        <v>46881</v>
      </c>
      <c r="AI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4">
        <f>IF(Table1[[#This Row],[Attrition]]="Yes",Table1[[#This Row],[EstReplacementCost]],0)</f>
        <v>0</v>
      </c>
    </row>
    <row r="95" spans="1:36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54</v>
      </c>
      <c r="P95">
        <v>1</v>
      </c>
      <c r="Q95" t="s">
        <v>48</v>
      </c>
      <c r="R95">
        <v>10673</v>
      </c>
      <c r="S95">
        <v>3142</v>
      </c>
      <c r="T95">
        <v>2</v>
      </c>
      <c r="U95" t="s">
        <v>35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tr">
        <f>IF(Table1[[#This Row],[YearsAtCompany]]&lt;1,"0-1",IF(Table1[[#This Row],[YearsAtCompany]]&lt;=3,"1-3",IF(Table1[[#This Row],[YearsAtCompany]]&lt;=6,"4-6","7+")))</f>
        <v>7+</v>
      </c>
      <c r="AH95">
        <f>Table1[[#This Row],[MonthlyIncome]]*12*0.75</f>
        <v>96057</v>
      </c>
      <c r="AI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5">
        <f>IF(Table1[[#This Row],[Attrition]]="Yes",Table1[[#This Row],[EstReplacementCost]],0)</f>
        <v>0</v>
      </c>
    </row>
    <row r="96" spans="1:36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>
        <v>5010</v>
      </c>
      <c r="S96">
        <v>24301</v>
      </c>
      <c r="T96">
        <v>1</v>
      </c>
      <c r="U96" t="s">
        <v>43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tr">
        <f>IF(Table1[[#This Row],[YearsAtCompany]]&lt;1,"0-1",IF(Table1[[#This Row],[YearsAtCompany]]&lt;=3,"1-3",IF(Table1[[#This Row],[YearsAtCompany]]&lt;=6,"4-6","7+")))</f>
        <v>7+</v>
      </c>
      <c r="AH96">
        <f>Table1[[#This Row],[MonthlyIncome]]*12*0.75</f>
        <v>45090</v>
      </c>
      <c r="AI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6">
        <f>IF(Table1[[#This Row],[Attrition]]="Yes",Table1[[#This Row],[EstReplacementCost]],0)</f>
        <v>0</v>
      </c>
    </row>
    <row r="97" spans="1:36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58</v>
      </c>
      <c r="P97">
        <v>3</v>
      </c>
      <c r="Q97" t="s">
        <v>48</v>
      </c>
      <c r="R97">
        <v>13549</v>
      </c>
      <c r="S97">
        <v>24001</v>
      </c>
      <c r="T97">
        <v>9</v>
      </c>
      <c r="U97" t="s">
        <v>43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tr">
        <f>IF(Table1[[#This Row],[YearsAtCompany]]&lt;1,"0-1",IF(Table1[[#This Row],[YearsAtCompany]]&lt;=3,"1-3",IF(Table1[[#This Row],[YearsAtCompany]]&lt;=6,"4-6","7+")))</f>
        <v>4-6</v>
      </c>
      <c r="AH97">
        <f>Table1[[#This Row],[MonthlyIncome]]*12*0.75</f>
        <v>121941</v>
      </c>
      <c r="AI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7">
        <f>IF(Table1[[#This Row],[Attrition]]="Yes",Table1[[#This Row],[EstReplacementCost]],0)</f>
        <v>0</v>
      </c>
    </row>
    <row r="98" spans="1:36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48</v>
      </c>
      <c r="R98">
        <v>4999</v>
      </c>
      <c r="S98">
        <v>17519</v>
      </c>
      <c r="T98">
        <v>0</v>
      </c>
      <c r="U98" t="s">
        <v>43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tr">
        <f>IF(Table1[[#This Row],[YearsAtCompany]]&lt;1,"0-1",IF(Table1[[#This Row],[YearsAtCompany]]&lt;=3,"1-3",IF(Table1[[#This Row],[YearsAtCompany]]&lt;=6,"4-6","7+")))</f>
        <v>1-3</v>
      </c>
      <c r="AH98">
        <f>Table1[[#This Row],[MonthlyIncome]]*12*0.75</f>
        <v>44991</v>
      </c>
      <c r="AI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8">
        <f>IF(Table1[[#This Row],[Attrition]]="Yes",Table1[[#This Row],[EstReplacementCost]],0)</f>
        <v>0</v>
      </c>
    </row>
    <row r="99" spans="1:36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48</v>
      </c>
      <c r="R99">
        <v>4221</v>
      </c>
      <c r="S99">
        <v>8863</v>
      </c>
      <c r="T99">
        <v>1</v>
      </c>
      <c r="U99" t="s">
        <v>43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tr">
        <f>IF(Table1[[#This Row],[YearsAtCompany]]&lt;1,"0-1",IF(Table1[[#This Row],[YearsAtCompany]]&lt;=3,"1-3",IF(Table1[[#This Row],[YearsAtCompany]]&lt;=6,"4-6","7+")))</f>
        <v>4-6</v>
      </c>
      <c r="AH99">
        <f>Table1[[#This Row],[MonthlyIncome]]*12*0.75</f>
        <v>37989</v>
      </c>
      <c r="AI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9">
        <f>IF(Table1[[#This Row],[Attrition]]="Yes",Table1[[#This Row],[EstReplacementCost]],0)</f>
        <v>0</v>
      </c>
    </row>
    <row r="100" spans="1:36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>
        <v>13872</v>
      </c>
      <c r="S100">
        <v>24409</v>
      </c>
      <c r="T100">
        <v>0</v>
      </c>
      <c r="U100" t="s">
        <v>43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tr">
        <f>IF(Table1[[#This Row],[YearsAtCompany]]&lt;1,"0-1",IF(Table1[[#This Row],[YearsAtCompany]]&lt;=3,"1-3",IF(Table1[[#This Row],[YearsAtCompany]]&lt;=6,"4-6","7+")))</f>
        <v>7+</v>
      </c>
      <c r="AH100">
        <f>Table1[[#This Row],[MonthlyIncome]]*12*0.75</f>
        <v>124848</v>
      </c>
      <c r="AI1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0">
        <f>IF(Table1[[#This Row],[Attrition]]="Yes",Table1[[#This Row],[EstReplacementCost]],0)</f>
        <v>0</v>
      </c>
    </row>
    <row r="101" spans="1:36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50</v>
      </c>
      <c r="P101">
        <v>2</v>
      </c>
      <c r="Q101" t="s">
        <v>48</v>
      </c>
      <c r="R101">
        <v>2042</v>
      </c>
      <c r="S101">
        <v>25043</v>
      </c>
      <c r="T101">
        <v>4</v>
      </c>
      <c r="U101" t="s">
        <v>43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tr">
        <f>IF(Table1[[#This Row],[YearsAtCompany]]&lt;1,"0-1",IF(Table1[[#This Row],[YearsAtCompany]]&lt;=3,"1-3",IF(Table1[[#This Row],[YearsAtCompany]]&lt;=6,"4-6","7+")))</f>
        <v>1-3</v>
      </c>
      <c r="AH101">
        <f>Table1[[#This Row],[MonthlyIncome]]*12*0.75</f>
        <v>18378</v>
      </c>
      <c r="AI1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1">
        <f>IF(Table1[[#This Row],[Attrition]]="Yes",Table1[[#This Row],[EstReplacementCost]],0)</f>
        <v>0</v>
      </c>
    </row>
    <row r="102" spans="1:36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61</v>
      </c>
      <c r="P102">
        <v>1</v>
      </c>
      <c r="Q102" t="s">
        <v>52</v>
      </c>
      <c r="R102">
        <v>2073</v>
      </c>
      <c r="S102">
        <v>23648</v>
      </c>
      <c r="T102">
        <v>4</v>
      </c>
      <c r="U102" t="s">
        <v>35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tr">
        <f>IF(Table1[[#This Row],[YearsAtCompany]]&lt;1,"0-1",IF(Table1[[#This Row],[YearsAtCompany]]&lt;=3,"1-3",IF(Table1[[#This Row],[YearsAtCompany]]&lt;=6,"4-6","7+")))</f>
        <v>1-3</v>
      </c>
      <c r="AH102">
        <f>Table1[[#This Row],[MonthlyIncome]]*12*0.75</f>
        <v>18657</v>
      </c>
      <c r="AI1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02">
        <f>IF(Table1[[#This Row],[Attrition]]="Yes",Table1[[#This Row],[EstReplacementCost]],0)</f>
        <v>18657</v>
      </c>
    </row>
    <row r="103" spans="1:36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47</v>
      </c>
      <c r="P103">
        <v>1</v>
      </c>
      <c r="Q103" t="s">
        <v>41</v>
      </c>
      <c r="R103">
        <v>2956</v>
      </c>
      <c r="S103">
        <v>15178</v>
      </c>
      <c r="T103">
        <v>1</v>
      </c>
      <c r="U103" t="s">
        <v>43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tr">
        <f>IF(Table1[[#This Row],[YearsAtCompany]]&lt;1,"0-1",IF(Table1[[#This Row],[YearsAtCompany]]&lt;=3,"1-3",IF(Table1[[#This Row],[YearsAtCompany]]&lt;=6,"4-6","7+")))</f>
        <v>1-3</v>
      </c>
      <c r="AH103">
        <f>Table1[[#This Row],[MonthlyIncome]]*12*0.75</f>
        <v>26604</v>
      </c>
      <c r="AI1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3">
        <f>IF(Table1[[#This Row],[Attrition]]="Yes",Table1[[#This Row],[EstReplacementCost]],0)</f>
        <v>0</v>
      </c>
    </row>
    <row r="104" spans="1:36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50</v>
      </c>
      <c r="P104">
        <v>4</v>
      </c>
      <c r="Q104" t="s">
        <v>41</v>
      </c>
      <c r="R104">
        <v>2926</v>
      </c>
      <c r="S104">
        <v>19783</v>
      </c>
      <c r="T104">
        <v>1</v>
      </c>
      <c r="U104" t="s">
        <v>35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tr">
        <f>IF(Table1[[#This Row],[YearsAtCompany]]&lt;1,"0-1",IF(Table1[[#This Row],[YearsAtCompany]]&lt;=3,"1-3",IF(Table1[[#This Row],[YearsAtCompany]]&lt;=6,"4-6","7+")))</f>
        <v>1-3</v>
      </c>
      <c r="AH104">
        <f>Table1[[#This Row],[MonthlyIncome]]*12*0.75</f>
        <v>26334</v>
      </c>
      <c r="AI1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4">
        <f>IF(Table1[[#This Row],[Attrition]]="Yes",Table1[[#This Row],[EstReplacementCost]],0)</f>
        <v>26334</v>
      </c>
    </row>
    <row r="105" spans="1:36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47</v>
      </c>
      <c r="P105">
        <v>3</v>
      </c>
      <c r="Q105" t="s">
        <v>41</v>
      </c>
      <c r="R105">
        <v>4809</v>
      </c>
      <c r="S105">
        <v>12482</v>
      </c>
      <c r="T105">
        <v>1</v>
      </c>
      <c r="U105" t="s">
        <v>43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tr">
        <f>IF(Table1[[#This Row],[YearsAtCompany]]&lt;1,"0-1",IF(Table1[[#This Row],[YearsAtCompany]]&lt;=3,"1-3",IF(Table1[[#This Row],[YearsAtCompany]]&lt;=6,"4-6","7+")))</f>
        <v>7+</v>
      </c>
      <c r="AH105">
        <f>Table1[[#This Row],[MonthlyIncome]]*12*0.75</f>
        <v>43281</v>
      </c>
      <c r="AI1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5">
        <f>IF(Table1[[#This Row],[Attrition]]="Yes",Table1[[#This Row],[EstReplacementCost]],0)</f>
        <v>0</v>
      </c>
    </row>
    <row r="106" spans="1:36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54</v>
      </c>
      <c r="P106">
        <v>4</v>
      </c>
      <c r="Q106" t="s">
        <v>52</v>
      </c>
      <c r="R106">
        <v>5163</v>
      </c>
      <c r="S106">
        <v>15850</v>
      </c>
      <c r="T106">
        <v>5</v>
      </c>
      <c r="U106" t="s">
        <v>43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tr">
        <f>IF(Table1[[#This Row],[YearsAtCompany]]&lt;1,"0-1",IF(Table1[[#This Row],[YearsAtCompany]]&lt;=3,"1-3",IF(Table1[[#This Row],[YearsAtCompany]]&lt;=6,"4-6","7+")))</f>
        <v>1-3</v>
      </c>
      <c r="AH106">
        <f>Table1[[#This Row],[MonthlyIncome]]*12*0.75</f>
        <v>46467</v>
      </c>
      <c r="AI1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6">
        <f>IF(Table1[[#This Row],[Attrition]]="Yes",Table1[[#This Row],[EstReplacementCost]],0)</f>
        <v>0</v>
      </c>
    </row>
    <row r="107" spans="1:36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56</v>
      </c>
      <c r="P107">
        <v>4</v>
      </c>
      <c r="Q107" t="s">
        <v>48</v>
      </c>
      <c r="R107">
        <v>18844</v>
      </c>
      <c r="S107">
        <v>21922</v>
      </c>
      <c r="T107">
        <v>9</v>
      </c>
      <c r="U107" t="s">
        <v>43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tr">
        <f>IF(Table1[[#This Row],[YearsAtCompany]]&lt;1,"0-1",IF(Table1[[#This Row],[YearsAtCompany]]&lt;=3,"1-3",IF(Table1[[#This Row],[YearsAtCompany]]&lt;=6,"4-6","7+")))</f>
        <v>1-3</v>
      </c>
      <c r="AH107">
        <f>Table1[[#This Row],[MonthlyIncome]]*12*0.75</f>
        <v>169596</v>
      </c>
      <c r="AI1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7">
        <f>IF(Table1[[#This Row],[Attrition]]="Yes",Table1[[#This Row],[EstReplacementCost]],0)</f>
        <v>0</v>
      </c>
    </row>
    <row r="108" spans="1:36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58</v>
      </c>
      <c r="P108">
        <v>2</v>
      </c>
      <c r="Q108" t="s">
        <v>48</v>
      </c>
      <c r="R108">
        <v>18172</v>
      </c>
      <c r="S108">
        <v>9755</v>
      </c>
      <c r="T108">
        <v>3</v>
      </c>
      <c r="U108" t="s">
        <v>35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tr">
        <f>IF(Table1[[#This Row],[YearsAtCompany]]&lt;1,"0-1",IF(Table1[[#This Row],[YearsAtCompany]]&lt;=3,"1-3",IF(Table1[[#This Row],[YearsAtCompany]]&lt;=6,"4-6","7+")))</f>
        <v>7+</v>
      </c>
      <c r="AH108">
        <f>Table1[[#This Row],[MonthlyIncome]]*12*0.75</f>
        <v>163548</v>
      </c>
      <c r="AI1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8">
        <f>IF(Table1[[#This Row],[Attrition]]="Yes",Table1[[#This Row],[EstReplacementCost]],0)</f>
        <v>0</v>
      </c>
    </row>
    <row r="109" spans="1:36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>
        <v>5744</v>
      </c>
      <c r="S109">
        <v>26959</v>
      </c>
      <c r="T109">
        <v>1</v>
      </c>
      <c r="U109" t="s">
        <v>35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tr">
        <f>IF(Table1[[#This Row],[YearsAtCompany]]&lt;1,"0-1",IF(Table1[[#This Row],[YearsAtCompany]]&lt;=3,"1-3",IF(Table1[[#This Row],[YearsAtCompany]]&lt;=6,"4-6","7+")))</f>
        <v>4-6</v>
      </c>
      <c r="AH109">
        <f>Table1[[#This Row],[MonthlyIncome]]*12*0.75</f>
        <v>51696</v>
      </c>
      <c r="AI1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9">
        <f>IF(Table1[[#This Row],[Attrition]]="Yes",Table1[[#This Row],[EstReplacementCost]],0)</f>
        <v>51696</v>
      </c>
    </row>
    <row r="110" spans="1:36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47</v>
      </c>
      <c r="P110">
        <v>4</v>
      </c>
      <c r="Q110" t="s">
        <v>48</v>
      </c>
      <c r="R110">
        <v>2889</v>
      </c>
      <c r="S110">
        <v>26897</v>
      </c>
      <c r="T110">
        <v>1</v>
      </c>
      <c r="U110" t="s">
        <v>43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tr">
        <f>IF(Table1[[#This Row],[YearsAtCompany]]&lt;1,"0-1",IF(Table1[[#This Row],[YearsAtCompany]]&lt;=3,"1-3",IF(Table1[[#This Row],[YearsAtCompany]]&lt;=6,"4-6","7+")))</f>
        <v>1-3</v>
      </c>
      <c r="AH110">
        <f>Table1[[#This Row],[MonthlyIncome]]*12*0.75</f>
        <v>26001</v>
      </c>
      <c r="AI1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0">
        <f>IF(Table1[[#This Row],[Attrition]]="Yes",Table1[[#This Row],[EstReplacementCost]],0)</f>
        <v>0</v>
      </c>
    </row>
    <row r="111" spans="1:36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50</v>
      </c>
      <c r="P111">
        <v>4</v>
      </c>
      <c r="Q111" t="s">
        <v>41</v>
      </c>
      <c r="R111">
        <v>2871</v>
      </c>
      <c r="S111">
        <v>23785</v>
      </c>
      <c r="T111">
        <v>1</v>
      </c>
      <c r="U111" t="s">
        <v>43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tr">
        <f>IF(Table1[[#This Row],[YearsAtCompany]]&lt;1,"0-1",IF(Table1[[#This Row],[YearsAtCompany]]&lt;=3,"1-3",IF(Table1[[#This Row],[YearsAtCompany]]&lt;=6,"4-6","7+")))</f>
        <v>0-1</v>
      </c>
      <c r="AH111">
        <f>Table1[[#This Row],[MonthlyIncome]]*12*0.75</f>
        <v>25839</v>
      </c>
      <c r="AI1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1">
        <f>IF(Table1[[#This Row],[Attrition]]="Yes",Table1[[#This Row],[EstReplacementCost]],0)</f>
        <v>0</v>
      </c>
    </row>
    <row r="112" spans="1:36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54</v>
      </c>
      <c r="P112">
        <v>1</v>
      </c>
      <c r="Q112" t="s">
        <v>41</v>
      </c>
      <c r="R112">
        <v>7484</v>
      </c>
      <c r="S112">
        <v>25796</v>
      </c>
      <c r="T112">
        <v>3</v>
      </c>
      <c r="U112" t="s">
        <v>43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tr">
        <f>IF(Table1[[#This Row],[YearsAtCompany]]&lt;1,"0-1",IF(Table1[[#This Row],[YearsAtCompany]]&lt;=3,"1-3",IF(Table1[[#This Row],[YearsAtCompany]]&lt;=6,"4-6","7+")))</f>
        <v>7+</v>
      </c>
      <c r="AH112">
        <f>Table1[[#This Row],[MonthlyIncome]]*12*0.75</f>
        <v>67356</v>
      </c>
      <c r="AI1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2">
        <f>IF(Table1[[#This Row],[Attrition]]="Yes",Table1[[#This Row],[EstReplacementCost]],0)</f>
        <v>0</v>
      </c>
    </row>
    <row r="113" spans="1:36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50</v>
      </c>
      <c r="P113">
        <v>3</v>
      </c>
      <c r="Q113" t="s">
        <v>41</v>
      </c>
      <c r="R113">
        <v>6074</v>
      </c>
      <c r="S113">
        <v>22887</v>
      </c>
      <c r="T113">
        <v>1</v>
      </c>
      <c r="U113" t="s">
        <v>35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tr">
        <f>IF(Table1[[#This Row],[YearsAtCompany]]&lt;1,"0-1",IF(Table1[[#This Row],[YearsAtCompany]]&lt;=3,"1-3",IF(Table1[[#This Row],[YearsAtCompany]]&lt;=6,"4-6","7+")))</f>
        <v>7+</v>
      </c>
      <c r="AH113">
        <f>Table1[[#This Row],[MonthlyIncome]]*12*0.75</f>
        <v>54666</v>
      </c>
      <c r="AI1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3">
        <f>IF(Table1[[#This Row],[Attrition]]="Yes",Table1[[#This Row],[EstReplacementCost]],0)</f>
        <v>54666</v>
      </c>
    </row>
    <row r="114" spans="1:36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56</v>
      </c>
      <c r="P114">
        <v>4</v>
      </c>
      <c r="Q114" t="s">
        <v>41</v>
      </c>
      <c r="R114">
        <v>17328</v>
      </c>
      <c r="S114">
        <v>13871</v>
      </c>
      <c r="T114">
        <v>2</v>
      </c>
      <c r="U114" t="s">
        <v>35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tr">
        <f>IF(Table1[[#This Row],[YearsAtCompany]]&lt;1,"0-1",IF(Table1[[#This Row],[YearsAtCompany]]&lt;=3,"1-3",IF(Table1[[#This Row],[YearsAtCompany]]&lt;=6,"4-6","7+")))</f>
        <v>4-6</v>
      </c>
      <c r="AH114">
        <f>Table1[[#This Row],[MonthlyIncome]]*12*0.75</f>
        <v>155952</v>
      </c>
      <c r="AI1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4">
        <f>IF(Table1[[#This Row],[Attrition]]="Yes",Table1[[#This Row],[EstReplacementCost]],0)</f>
        <v>0</v>
      </c>
    </row>
    <row r="115" spans="1:36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50</v>
      </c>
      <c r="P115">
        <v>3</v>
      </c>
      <c r="Q115" t="s">
        <v>48</v>
      </c>
      <c r="R115">
        <v>2774</v>
      </c>
      <c r="S115">
        <v>13257</v>
      </c>
      <c r="T115">
        <v>0</v>
      </c>
      <c r="U115" t="s">
        <v>43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tr">
        <f>IF(Table1[[#This Row],[YearsAtCompany]]&lt;1,"0-1",IF(Table1[[#This Row],[YearsAtCompany]]&lt;=3,"1-3",IF(Table1[[#This Row],[YearsAtCompany]]&lt;=6,"4-6","7+")))</f>
        <v>4-6</v>
      </c>
      <c r="AH115">
        <f>Table1[[#This Row],[MonthlyIncome]]*12*0.75</f>
        <v>24966</v>
      </c>
      <c r="AI1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5">
        <f>IF(Table1[[#This Row],[Attrition]]="Yes",Table1[[#This Row],[EstReplacementCost]],0)</f>
        <v>0</v>
      </c>
    </row>
    <row r="116" spans="1:36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47</v>
      </c>
      <c r="P116">
        <v>2</v>
      </c>
      <c r="Q116" t="s">
        <v>52</v>
      </c>
      <c r="R116">
        <v>4505</v>
      </c>
      <c r="S116">
        <v>15000</v>
      </c>
      <c r="T116">
        <v>6</v>
      </c>
      <c r="U116" t="s">
        <v>43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tr">
        <f>IF(Table1[[#This Row],[YearsAtCompany]]&lt;1,"0-1",IF(Table1[[#This Row],[YearsAtCompany]]&lt;=3,"1-3",IF(Table1[[#This Row],[YearsAtCompany]]&lt;=6,"4-6","7+")))</f>
        <v>1-3</v>
      </c>
      <c r="AH116">
        <f>Table1[[#This Row],[MonthlyIncome]]*12*0.75</f>
        <v>40545</v>
      </c>
      <c r="AI1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6">
        <f>IF(Table1[[#This Row],[Attrition]]="Yes",Table1[[#This Row],[EstReplacementCost]],0)</f>
        <v>0</v>
      </c>
    </row>
    <row r="117" spans="1:36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>
        <v>7428</v>
      </c>
      <c r="S117">
        <v>14506</v>
      </c>
      <c r="T117">
        <v>2</v>
      </c>
      <c r="U117" t="s">
        <v>43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tr">
        <f>IF(Table1[[#This Row],[YearsAtCompany]]&lt;1,"0-1",IF(Table1[[#This Row],[YearsAtCompany]]&lt;=3,"1-3",IF(Table1[[#This Row],[YearsAtCompany]]&lt;=6,"4-6","7+")))</f>
        <v>4-6</v>
      </c>
      <c r="AH117">
        <f>Table1[[#This Row],[MonthlyIncome]]*12*0.75</f>
        <v>66852</v>
      </c>
      <c r="AI1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7">
        <f>IF(Table1[[#This Row],[Attrition]]="Yes",Table1[[#This Row],[EstReplacementCost]],0)</f>
        <v>0</v>
      </c>
    </row>
    <row r="118" spans="1:36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56</v>
      </c>
      <c r="P118">
        <v>1</v>
      </c>
      <c r="Q118" t="s">
        <v>41</v>
      </c>
      <c r="R118">
        <v>11631</v>
      </c>
      <c r="S118">
        <v>5615</v>
      </c>
      <c r="T118">
        <v>2</v>
      </c>
      <c r="U118" t="s">
        <v>43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tr">
        <f>IF(Table1[[#This Row],[YearsAtCompany]]&lt;1,"0-1",IF(Table1[[#This Row],[YearsAtCompany]]&lt;=3,"1-3",IF(Table1[[#This Row],[YearsAtCompany]]&lt;=6,"4-6","7+")))</f>
        <v>7+</v>
      </c>
      <c r="AH118">
        <f>Table1[[#This Row],[MonthlyIncome]]*12*0.75</f>
        <v>104679</v>
      </c>
      <c r="AI1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8">
        <f>IF(Table1[[#This Row],[Attrition]]="Yes",Table1[[#This Row],[EstReplacementCost]],0)</f>
        <v>0</v>
      </c>
    </row>
    <row r="119" spans="1:36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48</v>
      </c>
      <c r="R119">
        <v>9738</v>
      </c>
      <c r="S119">
        <v>22952</v>
      </c>
      <c r="T119">
        <v>0</v>
      </c>
      <c r="U119" t="s">
        <v>43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tr">
        <f>IF(Table1[[#This Row],[YearsAtCompany]]&lt;1,"0-1",IF(Table1[[#This Row],[YearsAtCompany]]&lt;=3,"1-3",IF(Table1[[#This Row],[YearsAtCompany]]&lt;=6,"4-6","7+")))</f>
        <v>7+</v>
      </c>
      <c r="AH119">
        <f>Table1[[#This Row],[MonthlyIncome]]*12*0.75</f>
        <v>87642</v>
      </c>
      <c r="AI1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9">
        <f>IF(Table1[[#This Row],[Attrition]]="Yes",Table1[[#This Row],[EstReplacementCost]],0)</f>
        <v>0</v>
      </c>
    </row>
    <row r="120" spans="1:36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50</v>
      </c>
      <c r="P120">
        <v>4</v>
      </c>
      <c r="Q120" t="s">
        <v>52</v>
      </c>
      <c r="R120">
        <v>2835</v>
      </c>
      <c r="S120">
        <v>2561</v>
      </c>
      <c r="T120">
        <v>5</v>
      </c>
      <c r="U120" t="s">
        <v>43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tr">
        <f>IF(Table1[[#This Row],[YearsAtCompany]]&lt;1,"0-1",IF(Table1[[#This Row],[YearsAtCompany]]&lt;=3,"1-3",IF(Table1[[#This Row],[YearsAtCompany]]&lt;=6,"4-6","7+")))</f>
        <v>1-3</v>
      </c>
      <c r="AH120">
        <f>Table1[[#This Row],[MonthlyIncome]]*12*0.75</f>
        <v>25515</v>
      </c>
      <c r="AI1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0">
        <f>IF(Table1[[#This Row],[Attrition]]="Yes",Table1[[#This Row],[EstReplacementCost]],0)</f>
        <v>0</v>
      </c>
    </row>
    <row r="121" spans="1:36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56</v>
      </c>
      <c r="P121">
        <v>4</v>
      </c>
      <c r="Q121" t="s">
        <v>48</v>
      </c>
      <c r="R121">
        <v>16959</v>
      </c>
      <c r="S121">
        <v>19494</v>
      </c>
      <c r="T121">
        <v>1</v>
      </c>
      <c r="U121" t="s">
        <v>35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tr">
        <f>IF(Table1[[#This Row],[YearsAtCompany]]&lt;1,"0-1",IF(Table1[[#This Row],[YearsAtCompany]]&lt;=3,"1-3",IF(Table1[[#This Row],[YearsAtCompany]]&lt;=6,"4-6","7+")))</f>
        <v>7+</v>
      </c>
      <c r="AH121">
        <f>Table1[[#This Row],[MonthlyIncome]]*12*0.75</f>
        <v>152631</v>
      </c>
      <c r="AI1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1">
        <f>IF(Table1[[#This Row],[Attrition]]="Yes",Table1[[#This Row],[EstReplacementCost]],0)</f>
        <v>0</v>
      </c>
    </row>
    <row r="122" spans="1:36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47</v>
      </c>
      <c r="P122">
        <v>3</v>
      </c>
      <c r="Q122" t="s">
        <v>52</v>
      </c>
      <c r="R122">
        <v>2613</v>
      </c>
      <c r="S122">
        <v>22310</v>
      </c>
      <c r="T122">
        <v>1</v>
      </c>
      <c r="U122" t="s">
        <v>43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tr">
        <f>IF(Table1[[#This Row],[YearsAtCompany]]&lt;1,"0-1",IF(Table1[[#This Row],[YearsAtCompany]]&lt;=3,"1-3",IF(Table1[[#This Row],[YearsAtCompany]]&lt;=6,"4-6","7+")))</f>
        <v>7+</v>
      </c>
      <c r="AH122">
        <f>Table1[[#This Row],[MonthlyIncome]]*12*0.75</f>
        <v>23517</v>
      </c>
      <c r="AI1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2">
        <f>IF(Table1[[#This Row],[Attrition]]="Yes",Table1[[#This Row],[EstReplacementCost]],0)</f>
        <v>0</v>
      </c>
    </row>
    <row r="123" spans="1:36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48</v>
      </c>
      <c r="R123">
        <v>6146</v>
      </c>
      <c r="S123">
        <v>15480</v>
      </c>
      <c r="T123">
        <v>0</v>
      </c>
      <c r="U123" t="s">
        <v>43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tr">
        <f>IF(Table1[[#This Row],[YearsAtCompany]]&lt;1,"0-1",IF(Table1[[#This Row],[YearsAtCompany]]&lt;=3,"1-3",IF(Table1[[#This Row],[YearsAtCompany]]&lt;=6,"4-6","7+")))</f>
        <v>7+</v>
      </c>
      <c r="AH123">
        <f>Table1[[#This Row],[MonthlyIncome]]*12*0.75</f>
        <v>55314</v>
      </c>
      <c r="AI1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3">
        <f>IF(Table1[[#This Row],[Attrition]]="Yes",Table1[[#This Row],[EstReplacementCost]],0)</f>
        <v>0</v>
      </c>
    </row>
    <row r="124" spans="1:36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47</v>
      </c>
      <c r="P124">
        <v>2</v>
      </c>
      <c r="Q124" t="s">
        <v>48</v>
      </c>
      <c r="R124">
        <v>4963</v>
      </c>
      <c r="S124">
        <v>4510</v>
      </c>
      <c r="T124">
        <v>9</v>
      </c>
      <c r="U124" t="s">
        <v>35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tr">
        <f>IF(Table1[[#This Row],[YearsAtCompany]]&lt;1,"0-1",IF(Table1[[#This Row],[YearsAtCompany]]&lt;=3,"1-3",IF(Table1[[#This Row],[YearsAtCompany]]&lt;=6,"4-6","7+")))</f>
        <v>4-6</v>
      </c>
      <c r="AH124">
        <f>Table1[[#This Row],[MonthlyIncome]]*12*0.75</f>
        <v>44667</v>
      </c>
      <c r="AI1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4">
        <f>IF(Table1[[#This Row],[Attrition]]="Yes",Table1[[#This Row],[EstReplacementCost]],0)</f>
        <v>44667</v>
      </c>
    </row>
    <row r="125" spans="1:36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58</v>
      </c>
      <c r="P125">
        <v>3</v>
      </c>
      <c r="Q125" t="s">
        <v>41</v>
      </c>
      <c r="R125">
        <v>19537</v>
      </c>
      <c r="S125">
        <v>6462</v>
      </c>
      <c r="T125">
        <v>7</v>
      </c>
      <c r="U125" t="s">
        <v>43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tr">
        <f>IF(Table1[[#This Row],[YearsAtCompany]]&lt;1,"0-1",IF(Table1[[#This Row],[YearsAtCompany]]&lt;=3,"1-3",IF(Table1[[#This Row],[YearsAtCompany]]&lt;=6,"4-6","7+")))</f>
        <v>7+</v>
      </c>
      <c r="AH125">
        <f>Table1[[#This Row],[MonthlyIncome]]*12*0.75</f>
        <v>175833</v>
      </c>
      <c r="AI1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5">
        <f>IF(Table1[[#This Row],[Attrition]]="Yes",Table1[[#This Row],[EstReplacementCost]],0)</f>
        <v>0</v>
      </c>
    </row>
    <row r="126" spans="1:36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48</v>
      </c>
      <c r="R126">
        <v>6172</v>
      </c>
      <c r="S126">
        <v>20739</v>
      </c>
      <c r="T126">
        <v>4</v>
      </c>
      <c r="U126" t="s">
        <v>35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tr">
        <f>IF(Table1[[#This Row],[YearsAtCompany]]&lt;1,"0-1",IF(Table1[[#This Row],[YearsAtCompany]]&lt;=3,"1-3",IF(Table1[[#This Row],[YearsAtCompany]]&lt;=6,"4-6","7+")))</f>
        <v>7+</v>
      </c>
      <c r="AH126">
        <f>Table1[[#This Row],[MonthlyIncome]]*12*0.75</f>
        <v>55548</v>
      </c>
      <c r="AI1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6">
        <f>IF(Table1[[#This Row],[Attrition]]="Yes",Table1[[#This Row],[EstReplacementCost]],0)</f>
        <v>55548</v>
      </c>
    </row>
    <row r="127" spans="1:36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47</v>
      </c>
      <c r="P127">
        <v>2</v>
      </c>
      <c r="Q127" t="s">
        <v>48</v>
      </c>
      <c r="R127">
        <v>2368</v>
      </c>
      <c r="S127">
        <v>23300</v>
      </c>
      <c r="T127">
        <v>1</v>
      </c>
      <c r="U127" t="s">
        <v>43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tr">
        <f>IF(Table1[[#This Row],[YearsAtCompany]]&lt;1,"0-1",IF(Table1[[#This Row],[YearsAtCompany]]&lt;=3,"1-3",IF(Table1[[#This Row],[YearsAtCompany]]&lt;=6,"4-6","7+")))</f>
        <v>4-6</v>
      </c>
      <c r="AH127">
        <f>Table1[[#This Row],[MonthlyIncome]]*12*0.75</f>
        <v>21312</v>
      </c>
      <c r="AI1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7">
        <f>IF(Table1[[#This Row],[Attrition]]="Yes",Table1[[#This Row],[EstReplacementCost]],0)</f>
        <v>0</v>
      </c>
    </row>
    <row r="128" spans="1:36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54</v>
      </c>
      <c r="P128">
        <v>4</v>
      </c>
      <c r="Q128" t="s">
        <v>48</v>
      </c>
      <c r="R128">
        <v>10312</v>
      </c>
      <c r="S128">
        <v>3465</v>
      </c>
      <c r="T128">
        <v>1</v>
      </c>
      <c r="U128" t="s">
        <v>43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tr">
        <f>IF(Table1[[#This Row],[YearsAtCompany]]&lt;1,"0-1",IF(Table1[[#This Row],[YearsAtCompany]]&lt;=3,"1-3",IF(Table1[[#This Row],[YearsAtCompany]]&lt;=6,"4-6","7+")))</f>
        <v>7+</v>
      </c>
      <c r="AH128">
        <f>Table1[[#This Row],[MonthlyIncome]]*12*0.75</f>
        <v>92808</v>
      </c>
      <c r="AI1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8">
        <f>IF(Table1[[#This Row],[Attrition]]="Yes",Table1[[#This Row],[EstReplacementCost]],0)</f>
        <v>92808</v>
      </c>
    </row>
    <row r="129" spans="1:36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57</v>
      </c>
      <c r="P129">
        <v>3</v>
      </c>
      <c r="Q129" t="s">
        <v>41</v>
      </c>
      <c r="R129">
        <v>1675</v>
      </c>
      <c r="S129">
        <v>26820</v>
      </c>
      <c r="T129">
        <v>1</v>
      </c>
      <c r="U129" t="s">
        <v>35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tr">
        <f>IF(Table1[[#This Row],[YearsAtCompany]]&lt;1,"0-1",IF(Table1[[#This Row],[YearsAtCompany]]&lt;=3,"1-3",IF(Table1[[#This Row],[YearsAtCompany]]&lt;=6,"4-6","7+")))</f>
        <v>0-1</v>
      </c>
      <c r="AH129">
        <f>Table1[[#This Row],[MonthlyIncome]]*12*0.75</f>
        <v>15075</v>
      </c>
      <c r="AI1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9">
        <f>IF(Table1[[#This Row],[Attrition]]="Yes",Table1[[#This Row],[EstReplacementCost]],0)</f>
        <v>15075</v>
      </c>
    </row>
    <row r="130" spans="1:36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50</v>
      </c>
      <c r="P130">
        <v>4</v>
      </c>
      <c r="Q130" t="s">
        <v>48</v>
      </c>
      <c r="R130">
        <v>2523</v>
      </c>
      <c r="S130">
        <v>19299</v>
      </c>
      <c r="T130">
        <v>0</v>
      </c>
      <c r="U130" t="s">
        <v>43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tr">
        <f>IF(Table1[[#This Row],[YearsAtCompany]]&lt;1,"0-1",IF(Table1[[#This Row],[YearsAtCompany]]&lt;=3,"1-3",IF(Table1[[#This Row],[YearsAtCompany]]&lt;=6,"4-6","7+")))</f>
        <v>1-3</v>
      </c>
      <c r="AH130">
        <f>Table1[[#This Row],[MonthlyIncome]]*12*0.75</f>
        <v>22707</v>
      </c>
      <c r="AI1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0">
        <f>IF(Table1[[#This Row],[Attrition]]="Yes",Table1[[#This Row],[EstReplacementCost]],0)</f>
        <v>0</v>
      </c>
    </row>
    <row r="131" spans="1:36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53</v>
      </c>
      <c r="P131">
        <v>1</v>
      </c>
      <c r="Q131" t="s">
        <v>48</v>
      </c>
      <c r="R131">
        <v>6567</v>
      </c>
      <c r="S131">
        <v>5549</v>
      </c>
      <c r="T131">
        <v>1</v>
      </c>
      <c r="U131" t="s">
        <v>43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tr">
        <f>IF(Table1[[#This Row],[YearsAtCompany]]&lt;1,"0-1",IF(Table1[[#This Row],[YearsAtCompany]]&lt;=3,"1-3",IF(Table1[[#This Row],[YearsAtCompany]]&lt;=6,"4-6","7+")))</f>
        <v>7+</v>
      </c>
      <c r="AH131">
        <f>Table1[[#This Row],[MonthlyIncome]]*12*0.75</f>
        <v>59103</v>
      </c>
      <c r="AI1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1">
        <f>IF(Table1[[#This Row],[Attrition]]="Yes",Table1[[#This Row],[EstReplacementCost]],0)</f>
        <v>0</v>
      </c>
    </row>
    <row r="132" spans="1:36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47</v>
      </c>
      <c r="P132">
        <v>3</v>
      </c>
      <c r="Q132" t="s">
        <v>41</v>
      </c>
      <c r="R132">
        <v>4739</v>
      </c>
      <c r="S132">
        <v>16090</v>
      </c>
      <c r="T132">
        <v>4</v>
      </c>
      <c r="U132" t="s">
        <v>43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tr">
        <f>IF(Table1[[#This Row],[YearsAtCompany]]&lt;1,"0-1",IF(Table1[[#This Row],[YearsAtCompany]]&lt;=3,"1-3",IF(Table1[[#This Row],[YearsAtCompany]]&lt;=6,"4-6","7+")))</f>
        <v>1-3</v>
      </c>
      <c r="AH132">
        <f>Table1[[#This Row],[MonthlyIncome]]*12*0.75</f>
        <v>42651</v>
      </c>
      <c r="AI1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2">
        <f>IF(Table1[[#This Row],[Attrition]]="Yes",Table1[[#This Row],[EstReplacementCost]],0)</f>
        <v>0</v>
      </c>
    </row>
    <row r="133" spans="1:36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>
        <v>9208</v>
      </c>
      <c r="S133">
        <v>6645</v>
      </c>
      <c r="T133">
        <v>4</v>
      </c>
      <c r="U133" t="s">
        <v>43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tr">
        <f>IF(Table1[[#This Row],[YearsAtCompany]]&lt;1,"0-1",IF(Table1[[#This Row],[YearsAtCompany]]&lt;=3,"1-3",IF(Table1[[#This Row],[YearsAtCompany]]&lt;=6,"4-6","7+")))</f>
        <v>1-3</v>
      </c>
      <c r="AH133">
        <f>Table1[[#This Row],[MonthlyIncome]]*12*0.75</f>
        <v>82872</v>
      </c>
      <c r="AI1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3">
        <f>IF(Table1[[#This Row],[Attrition]]="Yes",Table1[[#This Row],[EstReplacementCost]],0)</f>
        <v>0</v>
      </c>
    </row>
    <row r="134" spans="1:36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48</v>
      </c>
      <c r="R134">
        <v>4559</v>
      </c>
      <c r="S134">
        <v>24788</v>
      </c>
      <c r="T134">
        <v>3</v>
      </c>
      <c r="U134" t="s">
        <v>35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tr">
        <f>IF(Table1[[#This Row],[YearsAtCompany]]&lt;1,"0-1",IF(Table1[[#This Row],[YearsAtCompany]]&lt;=3,"1-3",IF(Table1[[#This Row],[YearsAtCompany]]&lt;=6,"4-6","7+")))</f>
        <v>1-3</v>
      </c>
      <c r="AH134">
        <f>Table1[[#This Row],[MonthlyIncome]]*12*0.75</f>
        <v>41031</v>
      </c>
      <c r="AI1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4">
        <f>IF(Table1[[#This Row],[Attrition]]="Yes",Table1[[#This Row],[EstReplacementCost]],0)</f>
        <v>41031</v>
      </c>
    </row>
    <row r="135" spans="1:36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52</v>
      </c>
      <c r="R135">
        <v>8189</v>
      </c>
      <c r="S135">
        <v>21196</v>
      </c>
      <c r="T135">
        <v>3</v>
      </c>
      <c r="U135" t="s">
        <v>35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tr">
        <f>IF(Table1[[#This Row],[YearsAtCompany]]&lt;1,"0-1",IF(Table1[[#This Row],[YearsAtCompany]]&lt;=3,"1-3",IF(Table1[[#This Row],[YearsAtCompany]]&lt;=6,"4-6","7+")))</f>
        <v>7+</v>
      </c>
      <c r="AH135">
        <f>Table1[[#This Row],[MonthlyIncome]]*12*0.75</f>
        <v>73701</v>
      </c>
      <c r="AI1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5">
        <f>IF(Table1[[#This Row],[Attrition]]="Yes",Table1[[#This Row],[EstReplacementCost]],0)</f>
        <v>0</v>
      </c>
    </row>
    <row r="136" spans="1:36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61</v>
      </c>
      <c r="P136">
        <v>3</v>
      </c>
      <c r="Q136" t="s">
        <v>48</v>
      </c>
      <c r="R136">
        <v>2942</v>
      </c>
      <c r="S136">
        <v>8916</v>
      </c>
      <c r="T136">
        <v>1</v>
      </c>
      <c r="U136" t="s">
        <v>43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tr">
        <f>IF(Table1[[#This Row],[YearsAtCompany]]&lt;1,"0-1",IF(Table1[[#This Row],[YearsAtCompany]]&lt;=3,"1-3",IF(Table1[[#This Row],[YearsAtCompany]]&lt;=6,"4-6","7+")))</f>
        <v>7+</v>
      </c>
      <c r="AH136">
        <f>Table1[[#This Row],[MonthlyIncome]]*12*0.75</f>
        <v>26478</v>
      </c>
      <c r="AI1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6">
        <f>IF(Table1[[#This Row],[Attrition]]="Yes",Table1[[#This Row],[EstReplacementCost]],0)</f>
        <v>0</v>
      </c>
    </row>
    <row r="137" spans="1:36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53</v>
      </c>
      <c r="P137">
        <v>2</v>
      </c>
      <c r="Q137" t="s">
        <v>52</v>
      </c>
      <c r="R137">
        <v>4941</v>
      </c>
      <c r="S137">
        <v>2819</v>
      </c>
      <c r="T137">
        <v>6</v>
      </c>
      <c r="U137" t="s">
        <v>43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tr">
        <f>IF(Table1[[#This Row],[YearsAtCompany]]&lt;1,"0-1",IF(Table1[[#This Row],[YearsAtCompany]]&lt;=3,"1-3",IF(Table1[[#This Row],[YearsAtCompany]]&lt;=6,"4-6","7+")))</f>
        <v>1-3</v>
      </c>
      <c r="AH137">
        <f>Table1[[#This Row],[MonthlyIncome]]*12*0.75</f>
        <v>44469</v>
      </c>
      <c r="AI1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7">
        <f>IF(Table1[[#This Row],[Attrition]]="Yes",Table1[[#This Row],[EstReplacementCost]],0)</f>
        <v>0</v>
      </c>
    </row>
    <row r="138" spans="1:36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53</v>
      </c>
      <c r="P138">
        <v>4</v>
      </c>
      <c r="Q138" t="s">
        <v>41</v>
      </c>
      <c r="R138">
        <v>10650</v>
      </c>
      <c r="S138">
        <v>25150</v>
      </c>
      <c r="T138">
        <v>2</v>
      </c>
      <c r="U138" t="s">
        <v>43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tr">
        <f>IF(Table1[[#This Row],[YearsAtCompany]]&lt;1,"0-1",IF(Table1[[#This Row],[YearsAtCompany]]&lt;=3,"1-3",IF(Table1[[#This Row],[YearsAtCompany]]&lt;=6,"4-6","7+")))</f>
        <v>4-6</v>
      </c>
      <c r="AH138">
        <f>Table1[[#This Row],[MonthlyIncome]]*12*0.75</f>
        <v>95850</v>
      </c>
      <c r="AI1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8">
        <f>IF(Table1[[#This Row],[Attrition]]="Yes",Table1[[#This Row],[EstReplacementCost]],0)</f>
        <v>95850</v>
      </c>
    </row>
    <row r="139" spans="1:36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48</v>
      </c>
      <c r="R139">
        <v>5902</v>
      </c>
      <c r="S139">
        <v>14590</v>
      </c>
      <c r="T139">
        <v>4</v>
      </c>
      <c r="U139" t="s">
        <v>43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tr">
        <f>IF(Table1[[#This Row],[YearsAtCompany]]&lt;1,"0-1",IF(Table1[[#This Row],[YearsAtCompany]]&lt;=3,"1-3",IF(Table1[[#This Row],[YearsAtCompany]]&lt;=6,"4-6","7+")))</f>
        <v>7+</v>
      </c>
      <c r="AH139">
        <f>Table1[[#This Row],[MonthlyIncome]]*12*0.75</f>
        <v>53118</v>
      </c>
      <c r="AI1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9">
        <f>IF(Table1[[#This Row],[Attrition]]="Yes",Table1[[#This Row],[EstReplacementCost]],0)</f>
        <v>0</v>
      </c>
    </row>
    <row r="140" spans="1:36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48</v>
      </c>
      <c r="R140">
        <v>8639</v>
      </c>
      <c r="S140">
        <v>24835</v>
      </c>
      <c r="T140">
        <v>2</v>
      </c>
      <c r="U140" t="s">
        <v>43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tr">
        <f>IF(Table1[[#This Row],[YearsAtCompany]]&lt;1,"0-1",IF(Table1[[#This Row],[YearsAtCompany]]&lt;=3,"1-3",IF(Table1[[#This Row],[YearsAtCompany]]&lt;=6,"4-6","7+")))</f>
        <v>1-3</v>
      </c>
      <c r="AH140">
        <f>Table1[[#This Row],[MonthlyIncome]]*12*0.75</f>
        <v>77751</v>
      </c>
      <c r="AI1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0">
        <f>IF(Table1[[#This Row],[Attrition]]="Yes",Table1[[#This Row],[EstReplacementCost]],0)</f>
        <v>0</v>
      </c>
    </row>
    <row r="141" spans="1:36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61</v>
      </c>
      <c r="P141">
        <v>4</v>
      </c>
      <c r="Q141" t="s">
        <v>48</v>
      </c>
      <c r="R141">
        <v>6347</v>
      </c>
      <c r="S141">
        <v>13982</v>
      </c>
      <c r="T141">
        <v>0</v>
      </c>
      <c r="U141" t="s">
        <v>35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tr">
        <f>IF(Table1[[#This Row],[YearsAtCompany]]&lt;1,"0-1",IF(Table1[[#This Row],[YearsAtCompany]]&lt;=3,"1-3",IF(Table1[[#This Row],[YearsAtCompany]]&lt;=6,"4-6","7+")))</f>
        <v>7+</v>
      </c>
      <c r="AH141">
        <f>Table1[[#This Row],[MonthlyIncome]]*12*0.75</f>
        <v>57123</v>
      </c>
      <c r="AI1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1">
        <f>IF(Table1[[#This Row],[Attrition]]="Yes",Table1[[#This Row],[EstReplacementCost]],0)</f>
        <v>0</v>
      </c>
    </row>
    <row r="142" spans="1:36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50</v>
      </c>
      <c r="P142">
        <v>1</v>
      </c>
      <c r="Q142" t="s">
        <v>41</v>
      </c>
      <c r="R142">
        <v>4200</v>
      </c>
      <c r="S142">
        <v>10224</v>
      </c>
      <c r="T142">
        <v>7</v>
      </c>
      <c r="U142" t="s">
        <v>43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tr">
        <f>IF(Table1[[#This Row],[YearsAtCompany]]&lt;1,"0-1",IF(Table1[[#This Row],[YearsAtCompany]]&lt;=3,"1-3",IF(Table1[[#This Row],[YearsAtCompany]]&lt;=6,"4-6","7+")))</f>
        <v>4-6</v>
      </c>
      <c r="AH142">
        <f>Table1[[#This Row],[MonthlyIncome]]*12*0.75</f>
        <v>37800</v>
      </c>
      <c r="AI1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2">
        <f>IF(Table1[[#This Row],[Attrition]]="Yes",Table1[[#This Row],[EstReplacementCost]],0)</f>
        <v>37800</v>
      </c>
    </row>
    <row r="143" spans="1:36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47</v>
      </c>
      <c r="P143">
        <v>4</v>
      </c>
      <c r="Q143" t="s">
        <v>41</v>
      </c>
      <c r="R143">
        <v>3452</v>
      </c>
      <c r="S143">
        <v>9752</v>
      </c>
      <c r="T143">
        <v>5</v>
      </c>
      <c r="U143" t="s">
        <v>43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tr">
        <f>IF(Table1[[#This Row],[YearsAtCompany]]&lt;1,"0-1",IF(Table1[[#This Row],[YearsAtCompany]]&lt;=3,"1-3",IF(Table1[[#This Row],[YearsAtCompany]]&lt;=6,"4-6","7+")))</f>
        <v>4-6</v>
      </c>
      <c r="AH143">
        <f>Table1[[#This Row],[MonthlyIncome]]*12*0.75</f>
        <v>31068</v>
      </c>
      <c r="AI1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3">
        <f>IF(Table1[[#This Row],[Attrition]]="Yes",Table1[[#This Row],[EstReplacementCost]],0)</f>
        <v>0</v>
      </c>
    </row>
    <row r="144" spans="1:36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47</v>
      </c>
      <c r="P144">
        <v>3</v>
      </c>
      <c r="Q144" t="s">
        <v>41</v>
      </c>
      <c r="R144">
        <v>4317</v>
      </c>
      <c r="S144">
        <v>2302</v>
      </c>
      <c r="T144">
        <v>3</v>
      </c>
      <c r="U144" t="s">
        <v>35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tr">
        <f>IF(Table1[[#This Row],[YearsAtCompany]]&lt;1,"0-1",IF(Table1[[#This Row],[YearsAtCompany]]&lt;=3,"1-3",IF(Table1[[#This Row],[YearsAtCompany]]&lt;=6,"4-6","7+")))</f>
        <v>1-3</v>
      </c>
      <c r="AH144">
        <f>Table1[[#This Row],[MonthlyIncome]]*12*0.75</f>
        <v>38853</v>
      </c>
      <c r="AI1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4">
        <f>IF(Table1[[#This Row],[Attrition]]="Yes",Table1[[#This Row],[EstReplacementCost]],0)</f>
        <v>0</v>
      </c>
    </row>
    <row r="145" spans="1:36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47</v>
      </c>
      <c r="P145">
        <v>3</v>
      </c>
      <c r="Q145" t="s">
        <v>41</v>
      </c>
      <c r="R145">
        <v>2632</v>
      </c>
      <c r="S145">
        <v>23910</v>
      </c>
      <c r="T145">
        <v>1</v>
      </c>
      <c r="U145" t="s">
        <v>43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tr">
        <f>IF(Table1[[#This Row],[YearsAtCompany]]&lt;1,"0-1",IF(Table1[[#This Row],[YearsAtCompany]]&lt;=3,"1-3",IF(Table1[[#This Row],[YearsAtCompany]]&lt;=6,"4-6","7+")))</f>
        <v>4-6</v>
      </c>
      <c r="AH145">
        <f>Table1[[#This Row],[MonthlyIncome]]*12*0.75</f>
        <v>23688</v>
      </c>
      <c r="AI1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5">
        <f>IF(Table1[[#This Row],[Attrition]]="Yes",Table1[[#This Row],[EstReplacementCost]],0)</f>
        <v>0</v>
      </c>
    </row>
    <row r="146" spans="1:36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52</v>
      </c>
      <c r="R146">
        <v>4668</v>
      </c>
      <c r="S146">
        <v>22812</v>
      </c>
      <c r="T146">
        <v>0</v>
      </c>
      <c r="U146" t="s">
        <v>43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tr">
        <f>IF(Table1[[#This Row],[YearsAtCompany]]&lt;1,"0-1",IF(Table1[[#This Row],[YearsAtCompany]]&lt;=3,"1-3",IF(Table1[[#This Row],[YearsAtCompany]]&lt;=6,"4-6","7+")))</f>
        <v>7+</v>
      </c>
      <c r="AH146">
        <f>Table1[[#This Row],[MonthlyIncome]]*12*0.75</f>
        <v>42012</v>
      </c>
      <c r="AI1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6">
        <f>IF(Table1[[#This Row],[Attrition]]="Yes",Table1[[#This Row],[EstReplacementCost]],0)</f>
        <v>0</v>
      </c>
    </row>
    <row r="147" spans="1:36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47</v>
      </c>
      <c r="P147">
        <v>1</v>
      </c>
      <c r="Q147" t="s">
        <v>52</v>
      </c>
      <c r="R147">
        <v>3204</v>
      </c>
      <c r="S147">
        <v>10415</v>
      </c>
      <c r="T147">
        <v>5</v>
      </c>
      <c r="U147" t="s">
        <v>43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tr">
        <f>IF(Table1[[#This Row],[YearsAtCompany]]&lt;1,"0-1",IF(Table1[[#This Row],[YearsAtCompany]]&lt;=3,"1-3",IF(Table1[[#This Row],[YearsAtCompany]]&lt;=6,"4-6","7+")))</f>
        <v>1-3</v>
      </c>
      <c r="AH147">
        <f>Table1[[#This Row],[MonthlyIncome]]*12*0.75</f>
        <v>28836</v>
      </c>
      <c r="AI1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7">
        <f>IF(Table1[[#This Row],[Attrition]]="Yes",Table1[[#This Row],[EstReplacementCost]],0)</f>
        <v>0</v>
      </c>
    </row>
    <row r="148" spans="1:36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50</v>
      </c>
      <c r="P148">
        <v>4</v>
      </c>
      <c r="Q148" t="s">
        <v>41</v>
      </c>
      <c r="R148">
        <v>2720</v>
      </c>
      <c r="S148">
        <v>11162</v>
      </c>
      <c r="T148">
        <v>0</v>
      </c>
      <c r="U148" t="s">
        <v>43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tr">
        <f>IF(Table1[[#This Row],[YearsAtCompany]]&lt;1,"0-1",IF(Table1[[#This Row],[YearsAtCompany]]&lt;=3,"1-3",IF(Table1[[#This Row],[YearsAtCompany]]&lt;=6,"4-6","7+")))</f>
        <v>4-6</v>
      </c>
      <c r="AH148">
        <f>Table1[[#This Row],[MonthlyIncome]]*12*0.75</f>
        <v>24480</v>
      </c>
      <c r="AI1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8">
        <f>IF(Table1[[#This Row],[Attrition]]="Yes",Table1[[#This Row],[EstReplacementCost]],0)</f>
        <v>0</v>
      </c>
    </row>
    <row r="149" spans="1:36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56</v>
      </c>
      <c r="P149">
        <v>1</v>
      </c>
      <c r="Q149" t="s">
        <v>52</v>
      </c>
      <c r="R149">
        <v>17181</v>
      </c>
      <c r="S149">
        <v>12888</v>
      </c>
      <c r="T149">
        <v>4</v>
      </c>
      <c r="U149" t="s">
        <v>43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tr">
        <f>IF(Table1[[#This Row],[YearsAtCompany]]&lt;1,"0-1",IF(Table1[[#This Row],[YearsAtCompany]]&lt;=3,"1-3",IF(Table1[[#This Row],[YearsAtCompany]]&lt;=6,"4-6","7+")))</f>
        <v>7+</v>
      </c>
      <c r="AH149">
        <f>Table1[[#This Row],[MonthlyIncome]]*12*0.75</f>
        <v>154629</v>
      </c>
      <c r="AI1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9">
        <f>IF(Table1[[#This Row],[Attrition]]="Yes",Table1[[#This Row],[EstReplacementCost]],0)</f>
        <v>0</v>
      </c>
    </row>
    <row r="150" spans="1:36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50</v>
      </c>
      <c r="P150">
        <v>1</v>
      </c>
      <c r="Q150" t="s">
        <v>48</v>
      </c>
      <c r="R150">
        <v>2238</v>
      </c>
      <c r="S150">
        <v>6961</v>
      </c>
      <c r="T150">
        <v>2</v>
      </c>
      <c r="U150" t="s">
        <v>43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tr">
        <f>IF(Table1[[#This Row],[YearsAtCompany]]&lt;1,"0-1",IF(Table1[[#This Row],[YearsAtCompany]]&lt;=3,"1-3",IF(Table1[[#This Row],[YearsAtCompany]]&lt;=6,"4-6","7+")))</f>
        <v>4-6</v>
      </c>
      <c r="AH150">
        <f>Table1[[#This Row],[MonthlyIncome]]*12*0.75</f>
        <v>20142</v>
      </c>
      <c r="AI1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50">
        <f>IF(Table1[[#This Row],[Attrition]]="Yes",Table1[[#This Row],[EstReplacementCost]],0)</f>
        <v>0</v>
      </c>
    </row>
    <row r="151" spans="1:36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50</v>
      </c>
      <c r="P151">
        <v>2</v>
      </c>
      <c r="Q151" t="s">
        <v>41</v>
      </c>
      <c r="R151">
        <v>1483</v>
      </c>
      <c r="S151">
        <v>16102</v>
      </c>
      <c r="T151">
        <v>1</v>
      </c>
      <c r="U151" t="s">
        <v>43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tr">
        <f>IF(Table1[[#This Row],[YearsAtCompany]]&lt;1,"0-1",IF(Table1[[#This Row],[YearsAtCompany]]&lt;=3,"1-3",IF(Table1[[#This Row],[YearsAtCompany]]&lt;=6,"4-6","7+")))</f>
        <v>1-3</v>
      </c>
      <c r="AH151">
        <f>Table1[[#This Row],[MonthlyIncome]]*12*0.75</f>
        <v>13347</v>
      </c>
      <c r="AI1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51">
        <f>IF(Table1[[#This Row],[Attrition]]="Yes",Table1[[#This Row],[EstReplacementCost]],0)</f>
        <v>0</v>
      </c>
    </row>
    <row r="152" spans="1:36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47</v>
      </c>
      <c r="P152">
        <v>2</v>
      </c>
      <c r="Q152" t="s">
        <v>52</v>
      </c>
      <c r="R152">
        <v>5605</v>
      </c>
      <c r="S152">
        <v>8504</v>
      </c>
      <c r="T152">
        <v>1</v>
      </c>
      <c r="U152" t="s">
        <v>43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tr">
        <f>IF(Table1[[#This Row],[YearsAtCompany]]&lt;1,"0-1",IF(Table1[[#This Row],[YearsAtCompany]]&lt;=3,"1-3",IF(Table1[[#This Row],[YearsAtCompany]]&lt;=6,"4-6","7+")))</f>
        <v>7+</v>
      </c>
      <c r="AH152">
        <f>Table1[[#This Row],[MonthlyIncome]]*12*0.75</f>
        <v>50445</v>
      </c>
      <c r="AI1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52">
        <f>IF(Table1[[#This Row],[Attrition]]="Yes",Table1[[#This Row],[EstReplacementCost]],0)</f>
        <v>0</v>
      </c>
    </row>
    <row r="153" spans="1:36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48</v>
      </c>
      <c r="R153">
        <v>7295</v>
      </c>
      <c r="S153">
        <v>11439</v>
      </c>
      <c r="T153">
        <v>1</v>
      </c>
      <c r="U153" t="s">
        <v>43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tr">
        <f>IF(Table1[[#This Row],[YearsAtCompany]]&lt;1,"0-1",IF(Table1[[#This Row],[YearsAtCompany]]&lt;=3,"1-3",IF(Table1[[#This Row],[YearsAtCompany]]&lt;=6,"4-6","7+")))</f>
        <v>7+</v>
      </c>
      <c r="AH153">
        <f>Table1[[#This Row],[MonthlyIncome]]*12*0.75</f>
        <v>65655</v>
      </c>
      <c r="AI1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53">
        <f>IF(Table1[[#This Row],[Attrition]]="Yes",Table1[[#This Row],[EstReplacementCost]],0)</f>
        <v>0</v>
      </c>
    </row>
    <row r="154" spans="1:36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57</v>
      </c>
      <c r="P154">
        <v>3</v>
      </c>
      <c r="Q154" t="s">
        <v>48</v>
      </c>
      <c r="R154">
        <v>2306</v>
      </c>
      <c r="S154">
        <v>16047</v>
      </c>
      <c r="T154">
        <v>2</v>
      </c>
      <c r="U154" t="s">
        <v>35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tr">
        <f>IF(Table1[[#This Row],[YearsAtCompany]]&lt;1,"0-1",IF(Table1[[#This Row],[YearsAtCompany]]&lt;=3,"1-3",IF(Table1[[#This Row],[YearsAtCompany]]&lt;=6,"4-6","7+")))</f>
        <v>7+</v>
      </c>
      <c r="AH154">
        <f>Table1[[#This Row],[MonthlyIncome]]*12*0.75</f>
        <v>20754</v>
      </c>
      <c r="AI1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54">
        <f>IF(Table1[[#This Row],[Attrition]]="Yes",Table1[[#This Row],[EstReplacementCost]],0)</f>
        <v>0</v>
      </c>
    </row>
    <row r="155" spans="1:36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50</v>
      </c>
      <c r="P155">
        <v>2</v>
      </c>
      <c r="Q155" t="s">
        <v>52</v>
      </c>
      <c r="R155">
        <v>2348</v>
      </c>
      <c r="S155">
        <v>10901</v>
      </c>
      <c r="T155">
        <v>8</v>
      </c>
      <c r="U155" t="s">
        <v>43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tr">
        <f>IF(Table1[[#This Row],[YearsAtCompany]]&lt;1,"0-1",IF(Table1[[#This Row],[YearsAtCompany]]&lt;=3,"1-3",IF(Table1[[#This Row],[YearsAtCompany]]&lt;=6,"4-6","7+")))</f>
        <v>7+</v>
      </c>
      <c r="AH155">
        <f>Table1[[#This Row],[MonthlyIncome]]*12*0.75</f>
        <v>21132</v>
      </c>
      <c r="AI1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55">
        <f>IF(Table1[[#This Row],[Attrition]]="Yes",Table1[[#This Row],[EstReplacementCost]],0)</f>
        <v>0</v>
      </c>
    </row>
    <row r="156" spans="1:36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>
        <v>8998</v>
      </c>
      <c r="S156">
        <v>15589</v>
      </c>
      <c r="T156">
        <v>1</v>
      </c>
      <c r="U156" t="s">
        <v>43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tr">
        <f>IF(Table1[[#This Row],[YearsAtCompany]]&lt;1,"0-1",IF(Table1[[#This Row],[YearsAtCompany]]&lt;=3,"1-3",IF(Table1[[#This Row],[YearsAtCompany]]&lt;=6,"4-6","7+")))</f>
        <v>7+</v>
      </c>
      <c r="AH156">
        <f>Table1[[#This Row],[MonthlyIncome]]*12*0.75</f>
        <v>80982</v>
      </c>
      <c r="AI1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56">
        <f>IF(Table1[[#This Row],[Attrition]]="Yes",Table1[[#This Row],[EstReplacementCost]],0)</f>
        <v>0</v>
      </c>
    </row>
    <row r="157" spans="1:36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53</v>
      </c>
      <c r="P157">
        <v>3</v>
      </c>
      <c r="Q157" t="s">
        <v>48</v>
      </c>
      <c r="R157">
        <v>4319</v>
      </c>
      <c r="S157">
        <v>26283</v>
      </c>
      <c r="T157">
        <v>1</v>
      </c>
      <c r="U157" t="s">
        <v>43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tr">
        <f>IF(Table1[[#This Row],[YearsAtCompany]]&lt;1,"0-1",IF(Table1[[#This Row],[YearsAtCompany]]&lt;=3,"1-3",IF(Table1[[#This Row],[YearsAtCompany]]&lt;=6,"4-6","7+")))</f>
        <v>7+</v>
      </c>
      <c r="AH157">
        <f>Table1[[#This Row],[MonthlyIncome]]*12*0.75</f>
        <v>38871</v>
      </c>
      <c r="AI1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57">
        <f>IF(Table1[[#This Row],[Attrition]]="Yes",Table1[[#This Row],[EstReplacementCost]],0)</f>
        <v>0</v>
      </c>
    </row>
    <row r="158" spans="1:36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53</v>
      </c>
      <c r="P158">
        <v>3</v>
      </c>
      <c r="Q158" t="s">
        <v>48</v>
      </c>
      <c r="R158">
        <v>6132</v>
      </c>
      <c r="S158">
        <v>13983</v>
      </c>
      <c r="T158">
        <v>2</v>
      </c>
      <c r="U158" t="s">
        <v>43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tr">
        <f>IF(Table1[[#This Row],[YearsAtCompany]]&lt;1,"0-1",IF(Table1[[#This Row],[YearsAtCompany]]&lt;=3,"1-3",IF(Table1[[#This Row],[YearsAtCompany]]&lt;=6,"4-6","7+")))</f>
        <v>1-3</v>
      </c>
      <c r="AH158">
        <f>Table1[[#This Row],[MonthlyIncome]]*12*0.75</f>
        <v>55188</v>
      </c>
      <c r="AI1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58">
        <f>IF(Table1[[#This Row],[Attrition]]="Yes",Table1[[#This Row],[EstReplacementCost]],0)</f>
        <v>0</v>
      </c>
    </row>
    <row r="159" spans="1:36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47</v>
      </c>
      <c r="P159">
        <v>2</v>
      </c>
      <c r="Q159" t="s">
        <v>48</v>
      </c>
      <c r="R159">
        <v>3346</v>
      </c>
      <c r="S159">
        <v>11873</v>
      </c>
      <c r="T159">
        <v>4</v>
      </c>
      <c r="U159" t="s">
        <v>35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tr">
        <f>IF(Table1[[#This Row],[YearsAtCompany]]&lt;1,"0-1",IF(Table1[[#This Row],[YearsAtCompany]]&lt;=3,"1-3",IF(Table1[[#This Row],[YearsAtCompany]]&lt;=6,"4-6","7+")))</f>
        <v>1-3</v>
      </c>
      <c r="AH159">
        <f>Table1[[#This Row],[MonthlyIncome]]*12*0.75</f>
        <v>30114</v>
      </c>
      <c r="AI1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59">
        <f>IF(Table1[[#This Row],[Attrition]]="Yes",Table1[[#This Row],[EstReplacementCost]],0)</f>
        <v>0</v>
      </c>
    </row>
    <row r="160" spans="1:36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48</v>
      </c>
      <c r="R160">
        <v>10855</v>
      </c>
      <c r="S160">
        <v>8552</v>
      </c>
      <c r="T160">
        <v>7</v>
      </c>
      <c r="U160" t="s">
        <v>43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tr">
        <f>IF(Table1[[#This Row],[YearsAtCompany]]&lt;1,"0-1",IF(Table1[[#This Row],[YearsAtCompany]]&lt;=3,"1-3",IF(Table1[[#This Row],[YearsAtCompany]]&lt;=6,"4-6","7+")))</f>
        <v>7+</v>
      </c>
      <c r="AH160">
        <f>Table1[[#This Row],[MonthlyIncome]]*12*0.75</f>
        <v>97695</v>
      </c>
      <c r="AI1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60">
        <f>IF(Table1[[#This Row],[Attrition]]="Yes",Table1[[#This Row],[EstReplacementCost]],0)</f>
        <v>0</v>
      </c>
    </row>
    <row r="161" spans="1:36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57</v>
      </c>
      <c r="P161">
        <v>3</v>
      </c>
      <c r="Q161" t="s">
        <v>48</v>
      </c>
      <c r="R161">
        <v>2231</v>
      </c>
      <c r="S161">
        <v>11314</v>
      </c>
      <c r="T161">
        <v>6</v>
      </c>
      <c r="U161" t="s">
        <v>43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tr">
        <f>IF(Table1[[#This Row],[YearsAtCompany]]&lt;1,"0-1",IF(Table1[[#This Row],[YearsAtCompany]]&lt;=3,"1-3",IF(Table1[[#This Row],[YearsAtCompany]]&lt;=6,"4-6","7+")))</f>
        <v>4-6</v>
      </c>
      <c r="AH161">
        <f>Table1[[#This Row],[MonthlyIncome]]*12*0.75</f>
        <v>20079</v>
      </c>
      <c r="AI1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61">
        <f>IF(Table1[[#This Row],[Attrition]]="Yes",Table1[[#This Row],[EstReplacementCost]],0)</f>
        <v>0</v>
      </c>
    </row>
    <row r="162" spans="1:36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47</v>
      </c>
      <c r="P162">
        <v>4</v>
      </c>
      <c r="Q162" t="s">
        <v>48</v>
      </c>
      <c r="R162">
        <v>2323</v>
      </c>
      <c r="S162">
        <v>11992</v>
      </c>
      <c r="T162">
        <v>1</v>
      </c>
      <c r="U162" t="s">
        <v>43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tr">
        <f>IF(Table1[[#This Row],[YearsAtCompany]]&lt;1,"0-1",IF(Table1[[#This Row],[YearsAtCompany]]&lt;=3,"1-3",IF(Table1[[#This Row],[YearsAtCompany]]&lt;=6,"4-6","7+")))</f>
        <v>1-3</v>
      </c>
      <c r="AH162">
        <f>Table1[[#This Row],[MonthlyIncome]]*12*0.75</f>
        <v>20907</v>
      </c>
      <c r="AI1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62">
        <f>IF(Table1[[#This Row],[Attrition]]="Yes",Table1[[#This Row],[EstReplacementCost]],0)</f>
        <v>0</v>
      </c>
    </row>
    <row r="163" spans="1:36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47</v>
      </c>
      <c r="P163">
        <v>2</v>
      </c>
      <c r="Q163" t="s">
        <v>52</v>
      </c>
      <c r="R163">
        <v>2024</v>
      </c>
      <c r="S163">
        <v>5970</v>
      </c>
      <c r="T163">
        <v>6</v>
      </c>
      <c r="U163" t="s">
        <v>43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tr">
        <f>IF(Table1[[#This Row],[YearsAtCompany]]&lt;1,"0-1",IF(Table1[[#This Row],[YearsAtCompany]]&lt;=3,"1-3",IF(Table1[[#This Row],[YearsAtCompany]]&lt;=6,"4-6","7+")))</f>
        <v>1-3</v>
      </c>
      <c r="AH163">
        <f>Table1[[#This Row],[MonthlyIncome]]*12*0.75</f>
        <v>18216</v>
      </c>
      <c r="AI1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63">
        <f>IF(Table1[[#This Row],[Attrition]]="Yes",Table1[[#This Row],[EstReplacementCost]],0)</f>
        <v>0</v>
      </c>
    </row>
    <row r="164" spans="1:36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47</v>
      </c>
      <c r="P164">
        <v>4</v>
      </c>
      <c r="Q164" t="s">
        <v>48</v>
      </c>
      <c r="R164">
        <v>2713</v>
      </c>
      <c r="S164">
        <v>6672</v>
      </c>
      <c r="T164">
        <v>1</v>
      </c>
      <c r="U164" t="s">
        <v>43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tr">
        <f>IF(Table1[[#This Row],[YearsAtCompany]]&lt;1,"0-1",IF(Table1[[#This Row],[YearsAtCompany]]&lt;=3,"1-3",IF(Table1[[#This Row],[YearsAtCompany]]&lt;=6,"4-6","7+")))</f>
        <v>4-6</v>
      </c>
      <c r="AH164">
        <f>Table1[[#This Row],[MonthlyIncome]]*12*0.75</f>
        <v>24417</v>
      </c>
      <c r="AI1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64">
        <f>IF(Table1[[#This Row],[Attrition]]="Yes",Table1[[#This Row],[EstReplacementCost]],0)</f>
        <v>0</v>
      </c>
    </row>
    <row r="165" spans="1:36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54</v>
      </c>
      <c r="P165">
        <v>4</v>
      </c>
      <c r="Q165" t="s">
        <v>52</v>
      </c>
      <c r="R165">
        <v>9439</v>
      </c>
      <c r="S165">
        <v>23402</v>
      </c>
      <c r="T165">
        <v>3</v>
      </c>
      <c r="U165" t="s">
        <v>35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tr">
        <f>IF(Table1[[#This Row],[YearsAtCompany]]&lt;1,"0-1",IF(Table1[[#This Row],[YearsAtCompany]]&lt;=3,"1-3",IF(Table1[[#This Row],[YearsAtCompany]]&lt;=6,"4-6","7+")))</f>
        <v>4-6</v>
      </c>
      <c r="AH165">
        <f>Table1[[#This Row],[MonthlyIncome]]*12*0.75</f>
        <v>84951</v>
      </c>
      <c r="AI1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65">
        <f>IF(Table1[[#This Row],[Attrition]]="Yes",Table1[[#This Row],[EstReplacementCost]],0)</f>
        <v>0</v>
      </c>
    </row>
    <row r="166" spans="1:36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47</v>
      </c>
      <c r="P166">
        <v>3</v>
      </c>
      <c r="Q166" t="s">
        <v>52</v>
      </c>
      <c r="R166">
        <v>2566</v>
      </c>
      <c r="S166">
        <v>25326</v>
      </c>
      <c r="T166">
        <v>1</v>
      </c>
      <c r="U166" t="s">
        <v>35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tr">
        <f>IF(Table1[[#This Row],[YearsAtCompany]]&lt;1,"0-1",IF(Table1[[#This Row],[YearsAtCompany]]&lt;=3,"1-3",IF(Table1[[#This Row],[YearsAtCompany]]&lt;=6,"4-6","7+")))</f>
        <v>1-3</v>
      </c>
      <c r="AH166">
        <f>Table1[[#This Row],[MonthlyIncome]]*12*0.75</f>
        <v>23094</v>
      </c>
      <c r="AI1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66">
        <f>IF(Table1[[#This Row],[Attrition]]="Yes",Table1[[#This Row],[EstReplacementCost]],0)</f>
        <v>0</v>
      </c>
    </row>
    <row r="167" spans="1:36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56</v>
      </c>
      <c r="P167">
        <v>2</v>
      </c>
      <c r="Q167" t="s">
        <v>41</v>
      </c>
      <c r="R167">
        <v>19926</v>
      </c>
      <c r="S167">
        <v>17053</v>
      </c>
      <c r="T167">
        <v>3</v>
      </c>
      <c r="U167" t="s">
        <v>43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tr">
        <f>IF(Table1[[#This Row],[YearsAtCompany]]&lt;1,"0-1",IF(Table1[[#This Row],[YearsAtCompany]]&lt;=3,"1-3",IF(Table1[[#This Row],[YearsAtCompany]]&lt;=6,"4-6","7+")))</f>
        <v>4-6</v>
      </c>
      <c r="AH167">
        <f>Table1[[#This Row],[MonthlyIncome]]*12*0.75</f>
        <v>179334</v>
      </c>
      <c r="AI1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67">
        <f>IF(Table1[[#This Row],[Attrition]]="Yes",Table1[[#This Row],[EstReplacementCost]],0)</f>
        <v>0</v>
      </c>
    </row>
    <row r="168" spans="1:36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47</v>
      </c>
      <c r="P168">
        <v>3</v>
      </c>
      <c r="Q168" t="s">
        <v>52</v>
      </c>
      <c r="R168">
        <v>2451</v>
      </c>
      <c r="S168">
        <v>4609</v>
      </c>
      <c r="T168">
        <v>4</v>
      </c>
      <c r="U168" t="s">
        <v>43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tr">
        <f>IF(Table1[[#This Row],[YearsAtCompany]]&lt;1,"0-1",IF(Table1[[#This Row],[YearsAtCompany]]&lt;=3,"1-3",IF(Table1[[#This Row],[YearsAtCompany]]&lt;=6,"4-6","7+")))</f>
        <v>7+</v>
      </c>
      <c r="AH168">
        <f>Table1[[#This Row],[MonthlyIncome]]*12*0.75</f>
        <v>22059</v>
      </c>
      <c r="AI1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68">
        <f>IF(Table1[[#This Row],[Attrition]]="Yes",Table1[[#This Row],[EstReplacementCost]],0)</f>
        <v>0</v>
      </c>
    </row>
    <row r="169" spans="1:36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48</v>
      </c>
      <c r="R169">
        <v>9419</v>
      </c>
      <c r="S169">
        <v>8053</v>
      </c>
      <c r="T169">
        <v>2</v>
      </c>
      <c r="U169" t="s">
        <v>43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tr">
        <f>IF(Table1[[#This Row],[YearsAtCompany]]&lt;1,"0-1",IF(Table1[[#This Row],[YearsAtCompany]]&lt;=3,"1-3",IF(Table1[[#This Row],[YearsAtCompany]]&lt;=6,"4-6","7+")))</f>
        <v>7+</v>
      </c>
      <c r="AH169">
        <f>Table1[[#This Row],[MonthlyIncome]]*12*0.75</f>
        <v>84771</v>
      </c>
      <c r="AI1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69">
        <f>IF(Table1[[#This Row],[Attrition]]="Yes",Table1[[#This Row],[EstReplacementCost]],0)</f>
        <v>0</v>
      </c>
    </row>
    <row r="170" spans="1:36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>
        <v>8686</v>
      </c>
      <c r="S170">
        <v>12930</v>
      </c>
      <c r="T170">
        <v>4</v>
      </c>
      <c r="U170" t="s">
        <v>43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tr">
        <f>IF(Table1[[#This Row],[YearsAtCompany]]&lt;1,"0-1",IF(Table1[[#This Row],[YearsAtCompany]]&lt;=3,"1-3",IF(Table1[[#This Row],[YearsAtCompany]]&lt;=6,"4-6","7+")))</f>
        <v>7+</v>
      </c>
      <c r="AH170">
        <f>Table1[[#This Row],[MonthlyIncome]]*12*0.75</f>
        <v>78174</v>
      </c>
      <c r="AI1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70">
        <f>IF(Table1[[#This Row],[Attrition]]="Yes",Table1[[#This Row],[EstReplacementCost]],0)</f>
        <v>0</v>
      </c>
    </row>
    <row r="171" spans="1:36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47</v>
      </c>
      <c r="P171">
        <v>3</v>
      </c>
      <c r="Q171" t="s">
        <v>41</v>
      </c>
      <c r="R171">
        <v>3038</v>
      </c>
      <c r="S171">
        <v>12430</v>
      </c>
      <c r="T171">
        <v>3</v>
      </c>
      <c r="U171" t="s">
        <v>43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tr">
        <f>IF(Table1[[#This Row],[YearsAtCompany]]&lt;1,"0-1",IF(Table1[[#This Row],[YearsAtCompany]]&lt;=3,"1-3",IF(Table1[[#This Row],[YearsAtCompany]]&lt;=6,"4-6","7+")))</f>
        <v>4-6</v>
      </c>
      <c r="AH171">
        <f>Table1[[#This Row],[MonthlyIncome]]*12*0.75</f>
        <v>27342</v>
      </c>
      <c r="AI1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71">
        <f>IF(Table1[[#This Row],[Attrition]]="Yes",Table1[[#This Row],[EstReplacementCost]],0)</f>
        <v>0</v>
      </c>
    </row>
    <row r="172" spans="1:36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47</v>
      </c>
      <c r="P172">
        <v>2</v>
      </c>
      <c r="Q172" t="s">
        <v>48</v>
      </c>
      <c r="R172">
        <v>3058</v>
      </c>
      <c r="S172">
        <v>13364</v>
      </c>
      <c r="T172">
        <v>0</v>
      </c>
      <c r="U172" t="s">
        <v>35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tr">
        <f>IF(Table1[[#This Row],[YearsAtCompany]]&lt;1,"0-1",IF(Table1[[#This Row],[YearsAtCompany]]&lt;=3,"1-3",IF(Table1[[#This Row],[YearsAtCompany]]&lt;=6,"4-6","7+")))</f>
        <v>4-6</v>
      </c>
      <c r="AH172">
        <f>Table1[[#This Row],[MonthlyIncome]]*12*0.75</f>
        <v>27522</v>
      </c>
      <c r="AI1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72">
        <f>IF(Table1[[#This Row],[Attrition]]="Yes",Table1[[#This Row],[EstReplacementCost]],0)</f>
        <v>0</v>
      </c>
    </row>
    <row r="173" spans="1:36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57</v>
      </c>
      <c r="P173">
        <v>1</v>
      </c>
      <c r="Q173" t="s">
        <v>41</v>
      </c>
      <c r="R173">
        <v>2325</v>
      </c>
      <c r="S173">
        <v>20989</v>
      </c>
      <c r="T173">
        <v>0</v>
      </c>
      <c r="U173" t="s">
        <v>43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tr">
        <f>IF(Table1[[#This Row],[YearsAtCompany]]&lt;1,"0-1",IF(Table1[[#This Row],[YearsAtCompany]]&lt;=3,"1-3",IF(Table1[[#This Row],[YearsAtCompany]]&lt;=6,"4-6","7+")))</f>
        <v>0-1</v>
      </c>
      <c r="AH173">
        <f>Table1[[#This Row],[MonthlyIncome]]*12*0.75</f>
        <v>20925</v>
      </c>
      <c r="AI1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73">
        <f>IF(Table1[[#This Row],[Attrition]]="Yes",Table1[[#This Row],[EstReplacementCost]],0)</f>
        <v>20925</v>
      </c>
    </row>
    <row r="174" spans="1:36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50</v>
      </c>
      <c r="P174">
        <v>2</v>
      </c>
      <c r="Q174" t="s">
        <v>41</v>
      </c>
      <c r="R174">
        <v>2088</v>
      </c>
      <c r="S174">
        <v>15062</v>
      </c>
      <c r="T174">
        <v>4</v>
      </c>
      <c r="U174" t="s">
        <v>43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tr">
        <f>IF(Table1[[#This Row],[YearsAtCompany]]&lt;1,"0-1",IF(Table1[[#This Row],[YearsAtCompany]]&lt;=3,"1-3",IF(Table1[[#This Row],[YearsAtCompany]]&lt;=6,"4-6","7+")))</f>
        <v>7+</v>
      </c>
      <c r="AH174">
        <f>Table1[[#This Row],[MonthlyIncome]]*12*0.75</f>
        <v>18792</v>
      </c>
      <c r="AI1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74">
        <f>IF(Table1[[#This Row],[Attrition]]="Yes",Table1[[#This Row],[EstReplacementCost]],0)</f>
        <v>0</v>
      </c>
    </row>
    <row r="175" spans="1:36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50</v>
      </c>
      <c r="P175">
        <v>1</v>
      </c>
      <c r="Q175" t="s">
        <v>52</v>
      </c>
      <c r="R175">
        <v>3072</v>
      </c>
      <c r="S175">
        <v>11012</v>
      </c>
      <c r="T175">
        <v>1</v>
      </c>
      <c r="U175" t="s">
        <v>43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tr">
        <f>IF(Table1[[#This Row],[YearsAtCompany]]&lt;1,"0-1",IF(Table1[[#This Row],[YearsAtCompany]]&lt;=3,"1-3",IF(Table1[[#This Row],[YearsAtCompany]]&lt;=6,"4-6","7+")))</f>
        <v>7+</v>
      </c>
      <c r="AH175">
        <f>Table1[[#This Row],[MonthlyIncome]]*12*0.75</f>
        <v>27648</v>
      </c>
      <c r="AI1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75">
        <f>IF(Table1[[#This Row],[Attrition]]="Yes",Table1[[#This Row],[EstReplacementCost]],0)</f>
        <v>0</v>
      </c>
    </row>
    <row r="176" spans="1:36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52</v>
      </c>
      <c r="R176">
        <v>5006</v>
      </c>
      <c r="S176">
        <v>6319</v>
      </c>
      <c r="T176">
        <v>4</v>
      </c>
      <c r="U176" t="s">
        <v>35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tr">
        <f>IF(Table1[[#This Row],[YearsAtCompany]]&lt;1,"0-1",IF(Table1[[#This Row],[YearsAtCompany]]&lt;=3,"1-3",IF(Table1[[#This Row],[YearsAtCompany]]&lt;=6,"4-6","7+")))</f>
        <v>4-6</v>
      </c>
      <c r="AH176">
        <f>Table1[[#This Row],[MonthlyIncome]]*12*0.75</f>
        <v>45054</v>
      </c>
      <c r="AI1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76">
        <f>IF(Table1[[#This Row],[Attrition]]="Yes",Table1[[#This Row],[EstReplacementCost]],0)</f>
        <v>0</v>
      </c>
    </row>
    <row r="177" spans="1:36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47</v>
      </c>
      <c r="P177">
        <v>1</v>
      </c>
      <c r="Q177" t="s">
        <v>52</v>
      </c>
      <c r="R177">
        <v>4257</v>
      </c>
      <c r="S177">
        <v>13939</v>
      </c>
      <c r="T177">
        <v>4</v>
      </c>
      <c r="U177" t="s">
        <v>35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tr">
        <f>IF(Table1[[#This Row],[YearsAtCompany]]&lt;1,"0-1",IF(Table1[[#This Row],[YearsAtCompany]]&lt;=3,"1-3",IF(Table1[[#This Row],[YearsAtCompany]]&lt;=6,"4-6","7+")))</f>
        <v>1-3</v>
      </c>
      <c r="AH177">
        <f>Table1[[#This Row],[MonthlyIncome]]*12*0.75</f>
        <v>38313</v>
      </c>
      <c r="AI1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77">
        <f>IF(Table1[[#This Row],[Attrition]]="Yes",Table1[[#This Row],[EstReplacementCost]],0)</f>
        <v>0</v>
      </c>
    </row>
    <row r="178" spans="1:36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47</v>
      </c>
      <c r="P178">
        <v>4</v>
      </c>
      <c r="Q178" t="s">
        <v>41</v>
      </c>
      <c r="R178">
        <v>2500</v>
      </c>
      <c r="S178">
        <v>10515</v>
      </c>
      <c r="T178">
        <v>0</v>
      </c>
      <c r="U178" t="s">
        <v>43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tr">
        <f>IF(Table1[[#This Row],[YearsAtCompany]]&lt;1,"0-1",IF(Table1[[#This Row],[YearsAtCompany]]&lt;=3,"1-3",IF(Table1[[#This Row],[YearsAtCompany]]&lt;=6,"4-6","7+")))</f>
        <v>1-3</v>
      </c>
      <c r="AH178">
        <f>Table1[[#This Row],[MonthlyIncome]]*12*0.75</f>
        <v>22500</v>
      </c>
      <c r="AI1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78">
        <f>IF(Table1[[#This Row],[Attrition]]="Yes",Table1[[#This Row],[EstReplacementCost]],0)</f>
        <v>0</v>
      </c>
    </row>
    <row r="179" spans="1:36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50</v>
      </c>
      <c r="P179">
        <v>4</v>
      </c>
      <c r="Q179" t="s">
        <v>41</v>
      </c>
      <c r="R179">
        <v>1102</v>
      </c>
      <c r="S179">
        <v>9241</v>
      </c>
      <c r="T179">
        <v>1</v>
      </c>
      <c r="U179" t="s">
        <v>43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tr">
        <f>IF(Table1[[#This Row],[YearsAtCompany]]&lt;1,"0-1",IF(Table1[[#This Row],[YearsAtCompany]]&lt;=3,"1-3",IF(Table1[[#This Row],[YearsAtCompany]]&lt;=6,"4-6","7+")))</f>
        <v>1-3</v>
      </c>
      <c r="AH179">
        <f>Table1[[#This Row],[MonthlyIncome]]*12*0.75</f>
        <v>9918</v>
      </c>
      <c r="AI1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79">
        <f>IF(Table1[[#This Row],[Attrition]]="Yes",Table1[[#This Row],[EstReplacementCost]],0)</f>
        <v>9918</v>
      </c>
    </row>
    <row r="180" spans="1:36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52</v>
      </c>
      <c r="R180">
        <v>10453</v>
      </c>
      <c r="S180">
        <v>2137</v>
      </c>
      <c r="T180">
        <v>1</v>
      </c>
      <c r="U180" t="s">
        <v>43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tr">
        <f>IF(Table1[[#This Row],[YearsAtCompany]]&lt;1,"0-1",IF(Table1[[#This Row],[YearsAtCompany]]&lt;=3,"1-3",IF(Table1[[#This Row],[YearsAtCompany]]&lt;=6,"4-6","7+")))</f>
        <v>7+</v>
      </c>
      <c r="AH180">
        <f>Table1[[#This Row],[MonthlyIncome]]*12*0.75</f>
        <v>94077</v>
      </c>
      <c r="AI1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80">
        <f>IF(Table1[[#This Row],[Attrition]]="Yes",Table1[[#This Row],[EstReplacementCost]],0)</f>
        <v>0</v>
      </c>
    </row>
    <row r="181" spans="1:36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50</v>
      </c>
      <c r="P181">
        <v>4</v>
      </c>
      <c r="Q181" t="s">
        <v>41</v>
      </c>
      <c r="R181">
        <v>2288</v>
      </c>
      <c r="S181">
        <v>6319</v>
      </c>
      <c r="T181">
        <v>1</v>
      </c>
      <c r="U181" t="s">
        <v>43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tr">
        <f>IF(Table1[[#This Row],[YearsAtCompany]]&lt;1,"0-1",IF(Table1[[#This Row],[YearsAtCompany]]&lt;=3,"1-3",IF(Table1[[#This Row],[YearsAtCompany]]&lt;=6,"4-6","7+")))</f>
        <v>1-3</v>
      </c>
      <c r="AH181">
        <f>Table1[[#This Row],[MonthlyIncome]]*12*0.75</f>
        <v>20592</v>
      </c>
      <c r="AI1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81">
        <f>IF(Table1[[#This Row],[Attrition]]="Yes",Table1[[#This Row],[EstReplacementCost]],0)</f>
        <v>0</v>
      </c>
    </row>
    <row r="182" spans="1:36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47</v>
      </c>
      <c r="P182">
        <v>4</v>
      </c>
      <c r="Q182" t="s">
        <v>48</v>
      </c>
      <c r="R182">
        <v>3929</v>
      </c>
      <c r="S182">
        <v>6984</v>
      </c>
      <c r="T182">
        <v>8</v>
      </c>
      <c r="U182" t="s">
        <v>35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tr">
        <f>IF(Table1[[#This Row],[YearsAtCompany]]&lt;1,"0-1",IF(Table1[[#This Row],[YearsAtCompany]]&lt;=3,"1-3",IF(Table1[[#This Row],[YearsAtCompany]]&lt;=6,"4-6","7+")))</f>
        <v>4-6</v>
      </c>
      <c r="AH182">
        <f>Table1[[#This Row],[MonthlyIncome]]*12*0.75</f>
        <v>35361</v>
      </c>
      <c r="AI1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82">
        <f>IF(Table1[[#This Row],[Attrition]]="Yes",Table1[[#This Row],[EstReplacementCost]],0)</f>
        <v>0</v>
      </c>
    </row>
    <row r="183" spans="1:36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47</v>
      </c>
      <c r="P183">
        <v>2</v>
      </c>
      <c r="Q183" t="s">
        <v>41</v>
      </c>
      <c r="R183">
        <v>2311</v>
      </c>
      <c r="S183">
        <v>5711</v>
      </c>
      <c r="T183">
        <v>2</v>
      </c>
      <c r="U183" t="s">
        <v>43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tr">
        <f>IF(Table1[[#This Row],[YearsAtCompany]]&lt;1,"0-1",IF(Table1[[#This Row],[YearsAtCompany]]&lt;=3,"1-3",IF(Table1[[#This Row],[YearsAtCompany]]&lt;=6,"4-6","7+")))</f>
        <v>1-3</v>
      </c>
      <c r="AH183">
        <f>Table1[[#This Row],[MonthlyIncome]]*12*0.75</f>
        <v>20799</v>
      </c>
      <c r="AI1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83">
        <f>IF(Table1[[#This Row],[Attrition]]="Yes",Table1[[#This Row],[EstReplacementCost]],0)</f>
        <v>0</v>
      </c>
    </row>
    <row r="184" spans="1:36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57</v>
      </c>
      <c r="P184">
        <v>2</v>
      </c>
      <c r="Q184" t="s">
        <v>41</v>
      </c>
      <c r="R184">
        <v>3140</v>
      </c>
      <c r="S184">
        <v>21728</v>
      </c>
      <c r="T184">
        <v>1</v>
      </c>
      <c r="U184" t="s">
        <v>35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tr">
        <f>IF(Table1[[#This Row],[YearsAtCompany]]&lt;1,"0-1",IF(Table1[[#This Row],[YearsAtCompany]]&lt;=3,"1-3",IF(Table1[[#This Row],[YearsAtCompany]]&lt;=6,"4-6","7+")))</f>
        <v>4-6</v>
      </c>
      <c r="AH184">
        <f>Table1[[#This Row],[MonthlyIncome]]*12*0.75</f>
        <v>28260</v>
      </c>
      <c r="AI1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84">
        <f>IF(Table1[[#This Row],[Attrition]]="Yes",Table1[[#This Row],[EstReplacementCost]],0)</f>
        <v>28260</v>
      </c>
    </row>
    <row r="185" spans="1:36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50</v>
      </c>
      <c r="P185">
        <v>3</v>
      </c>
      <c r="Q185" t="s">
        <v>48</v>
      </c>
      <c r="R185">
        <v>3690</v>
      </c>
      <c r="S185">
        <v>3425</v>
      </c>
      <c r="T185">
        <v>2</v>
      </c>
      <c r="U185" t="s">
        <v>43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tr">
        <f>IF(Table1[[#This Row],[YearsAtCompany]]&lt;1,"0-1",IF(Table1[[#This Row],[YearsAtCompany]]&lt;=3,"1-3",IF(Table1[[#This Row],[YearsAtCompany]]&lt;=6,"4-6","7+")))</f>
        <v>1-3</v>
      </c>
      <c r="AH185">
        <f>Table1[[#This Row],[MonthlyIncome]]*12*0.75</f>
        <v>33210</v>
      </c>
      <c r="AI1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85">
        <f>IF(Table1[[#This Row],[Attrition]]="Yes",Table1[[#This Row],[EstReplacementCost]],0)</f>
        <v>0</v>
      </c>
    </row>
    <row r="186" spans="1:36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53</v>
      </c>
      <c r="P186">
        <v>1</v>
      </c>
      <c r="Q186" t="s">
        <v>52</v>
      </c>
      <c r="R186">
        <v>4450</v>
      </c>
      <c r="S186">
        <v>26250</v>
      </c>
      <c r="T186">
        <v>1</v>
      </c>
      <c r="U186" t="s">
        <v>43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tr">
        <f>IF(Table1[[#This Row],[YearsAtCompany]]&lt;1,"0-1",IF(Table1[[#This Row],[YearsAtCompany]]&lt;=3,"1-3",IF(Table1[[#This Row],[YearsAtCompany]]&lt;=6,"4-6","7+")))</f>
        <v>4-6</v>
      </c>
      <c r="AH186">
        <f>Table1[[#This Row],[MonthlyIncome]]*12*0.75</f>
        <v>40050</v>
      </c>
      <c r="AI1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86">
        <f>IF(Table1[[#This Row],[Attrition]]="Yes",Table1[[#This Row],[EstReplacementCost]],0)</f>
        <v>0</v>
      </c>
    </row>
    <row r="187" spans="1:36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47</v>
      </c>
      <c r="P187">
        <v>2</v>
      </c>
      <c r="Q187" t="s">
        <v>48</v>
      </c>
      <c r="R187">
        <v>2756</v>
      </c>
      <c r="S187">
        <v>4673</v>
      </c>
      <c r="T187">
        <v>1</v>
      </c>
      <c r="U187" t="s">
        <v>43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tr">
        <f>IF(Table1[[#This Row],[YearsAtCompany]]&lt;1,"0-1",IF(Table1[[#This Row],[YearsAtCompany]]&lt;=3,"1-3",IF(Table1[[#This Row],[YearsAtCompany]]&lt;=6,"4-6","7+")))</f>
        <v>7+</v>
      </c>
      <c r="AH187">
        <f>Table1[[#This Row],[MonthlyIncome]]*12*0.75</f>
        <v>24804</v>
      </c>
      <c r="AI1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87">
        <f>IF(Table1[[#This Row],[Attrition]]="Yes",Table1[[#This Row],[EstReplacementCost]],0)</f>
        <v>0</v>
      </c>
    </row>
    <row r="188" spans="1:36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56</v>
      </c>
      <c r="P188">
        <v>3</v>
      </c>
      <c r="Q188" t="s">
        <v>48</v>
      </c>
      <c r="R188">
        <v>19033</v>
      </c>
      <c r="S188">
        <v>6499</v>
      </c>
      <c r="T188">
        <v>1</v>
      </c>
      <c r="U188" t="s">
        <v>43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tr">
        <f>IF(Table1[[#This Row],[YearsAtCompany]]&lt;1,"0-1",IF(Table1[[#This Row],[YearsAtCompany]]&lt;=3,"1-3",IF(Table1[[#This Row],[YearsAtCompany]]&lt;=6,"4-6","7+")))</f>
        <v>7+</v>
      </c>
      <c r="AH188">
        <f>Table1[[#This Row],[MonthlyIncome]]*12*0.75</f>
        <v>171297</v>
      </c>
      <c r="AI1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88">
        <f>IF(Table1[[#This Row],[Attrition]]="Yes",Table1[[#This Row],[EstReplacementCost]],0)</f>
        <v>0</v>
      </c>
    </row>
    <row r="189" spans="1:36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58</v>
      </c>
      <c r="P189">
        <v>2</v>
      </c>
      <c r="Q189" t="s">
        <v>41</v>
      </c>
      <c r="R189">
        <v>18722</v>
      </c>
      <c r="S189">
        <v>13339</v>
      </c>
      <c r="T189">
        <v>8</v>
      </c>
      <c r="U189" t="s">
        <v>43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tr">
        <f>IF(Table1[[#This Row],[YearsAtCompany]]&lt;1,"0-1",IF(Table1[[#This Row],[YearsAtCompany]]&lt;=3,"1-3",IF(Table1[[#This Row],[YearsAtCompany]]&lt;=6,"4-6","7+")))</f>
        <v>7+</v>
      </c>
      <c r="AH189">
        <f>Table1[[#This Row],[MonthlyIncome]]*12*0.75</f>
        <v>168498</v>
      </c>
      <c r="AI1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89">
        <f>IF(Table1[[#This Row],[Attrition]]="Yes",Table1[[#This Row],[EstReplacementCost]],0)</f>
        <v>0</v>
      </c>
    </row>
    <row r="190" spans="1:36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53</v>
      </c>
      <c r="P190">
        <v>3</v>
      </c>
      <c r="Q190" t="s">
        <v>48</v>
      </c>
      <c r="R190">
        <v>9547</v>
      </c>
      <c r="S190">
        <v>14074</v>
      </c>
      <c r="T190">
        <v>1</v>
      </c>
      <c r="U190" t="s">
        <v>43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tr">
        <f>IF(Table1[[#This Row],[YearsAtCompany]]&lt;1,"0-1",IF(Table1[[#This Row],[YearsAtCompany]]&lt;=3,"1-3",IF(Table1[[#This Row],[YearsAtCompany]]&lt;=6,"4-6","7+")))</f>
        <v>7+</v>
      </c>
      <c r="AH190">
        <f>Table1[[#This Row],[MonthlyIncome]]*12*0.75</f>
        <v>85923</v>
      </c>
      <c r="AI1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90">
        <f>IF(Table1[[#This Row],[Attrition]]="Yes",Table1[[#This Row],[EstReplacementCost]],0)</f>
        <v>0</v>
      </c>
    </row>
    <row r="191" spans="1:36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54</v>
      </c>
      <c r="P191">
        <v>2</v>
      </c>
      <c r="Q191" t="s">
        <v>41</v>
      </c>
      <c r="R191">
        <v>13734</v>
      </c>
      <c r="S191">
        <v>7192</v>
      </c>
      <c r="T191">
        <v>3</v>
      </c>
      <c r="U191" t="s">
        <v>43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tr">
        <f>IF(Table1[[#This Row],[YearsAtCompany]]&lt;1,"0-1",IF(Table1[[#This Row],[YearsAtCompany]]&lt;=3,"1-3",IF(Table1[[#This Row],[YearsAtCompany]]&lt;=6,"4-6","7+")))</f>
        <v>7+</v>
      </c>
      <c r="AH191">
        <f>Table1[[#This Row],[MonthlyIncome]]*12*0.75</f>
        <v>123606</v>
      </c>
      <c r="AI1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91">
        <f>IF(Table1[[#This Row],[Attrition]]="Yes",Table1[[#This Row],[EstReplacementCost]],0)</f>
        <v>0</v>
      </c>
    </row>
    <row r="192" spans="1:36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56</v>
      </c>
      <c r="P192">
        <v>3</v>
      </c>
      <c r="Q192" t="s">
        <v>48</v>
      </c>
      <c r="R192">
        <v>19999</v>
      </c>
      <c r="S192">
        <v>5678</v>
      </c>
      <c r="T192">
        <v>0</v>
      </c>
      <c r="U192" t="s">
        <v>43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tr">
        <f>IF(Table1[[#This Row],[YearsAtCompany]]&lt;1,"0-1",IF(Table1[[#This Row],[YearsAtCompany]]&lt;=3,"1-3",IF(Table1[[#This Row],[YearsAtCompany]]&lt;=6,"4-6","7+")))</f>
        <v>7+</v>
      </c>
      <c r="AH192">
        <f>Table1[[#This Row],[MonthlyIncome]]*12*0.75</f>
        <v>179991</v>
      </c>
      <c r="AI1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92">
        <f>IF(Table1[[#This Row],[Attrition]]="Yes",Table1[[#This Row],[EstReplacementCost]],0)</f>
        <v>0</v>
      </c>
    </row>
    <row r="193" spans="1:36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47</v>
      </c>
      <c r="P193">
        <v>2</v>
      </c>
      <c r="Q193" t="s">
        <v>41</v>
      </c>
      <c r="R193">
        <v>2279</v>
      </c>
      <c r="S193">
        <v>11781</v>
      </c>
      <c r="T193">
        <v>1</v>
      </c>
      <c r="U193" t="s">
        <v>43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tr">
        <f>IF(Table1[[#This Row],[YearsAtCompany]]&lt;1,"0-1",IF(Table1[[#This Row],[YearsAtCompany]]&lt;=3,"1-3",IF(Table1[[#This Row],[YearsAtCompany]]&lt;=6,"4-6","7+")))</f>
        <v>7+</v>
      </c>
      <c r="AH193">
        <f>Table1[[#This Row],[MonthlyIncome]]*12*0.75</f>
        <v>20511</v>
      </c>
      <c r="AI1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93">
        <f>IF(Table1[[#This Row],[Attrition]]="Yes",Table1[[#This Row],[EstReplacementCost]],0)</f>
        <v>0</v>
      </c>
    </row>
    <row r="194" spans="1:36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53</v>
      </c>
      <c r="P194">
        <v>3</v>
      </c>
      <c r="Q194" t="s">
        <v>48</v>
      </c>
      <c r="R194">
        <v>5916</v>
      </c>
      <c r="S194">
        <v>15497</v>
      </c>
      <c r="T194">
        <v>3</v>
      </c>
      <c r="U194" t="s">
        <v>35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tr">
        <f>IF(Table1[[#This Row],[YearsAtCompany]]&lt;1,"0-1",IF(Table1[[#This Row],[YearsAtCompany]]&lt;=3,"1-3",IF(Table1[[#This Row],[YearsAtCompany]]&lt;=6,"4-6","7+")))</f>
        <v>1-3</v>
      </c>
      <c r="AH194">
        <f>Table1[[#This Row],[MonthlyIncome]]*12*0.75</f>
        <v>53244</v>
      </c>
      <c r="AI1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94">
        <f>IF(Table1[[#This Row],[Attrition]]="Yes",Table1[[#This Row],[EstReplacementCost]],0)</f>
        <v>53244</v>
      </c>
    </row>
    <row r="195" spans="1:36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47</v>
      </c>
      <c r="P195">
        <v>4</v>
      </c>
      <c r="Q195" t="s">
        <v>52</v>
      </c>
      <c r="R195">
        <v>2089</v>
      </c>
      <c r="S195">
        <v>5228</v>
      </c>
      <c r="T195">
        <v>4</v>
      </c>
      <c r="U195" t="s">
        <v>43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tr">
        <f>IF(Table1[[#This Row],[YearsAtCompany]]&lt;1,"0-1",IF(Table1[[#This Row],[YearsAtCompany]]&lt;=3,"1-3",IF(Table1[[#This Row],[YearsAtCompany]]&lt;=6,"4-6","7+")))</f>
        <v>4-6</v>
      </c>
      <c r="AH195">
        <f>Table1[[#This Row],[MonthlyIncome]]*12*0.75</f>
        <v>18801</v>
      </c>
      <c r="AI1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95">
        <f>IF(Table1[[#This Row],[Attrition]]="Yes",Table1[[#This Row],[EstReplacementCost]],0)</f>
        <v>0</v>
      </c>
    </row>
    <row r="196" spans="1:36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56</v>
      </c>
      <c r="P196">
        <v>4</v>
      </c>
      <c r="Q196" t="s">
        <v>48</v>
      </c>
      <c r="R196">
        <v>16792</v>
      </c>
      <c r="S196">
        <v>20462</v>
      </c>
      <c r="T196">
        <v>9</v>
      </c>
      <c r="U196" t="s">
        <v>43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tr">
        <f>IF(Table1[[#This Row],[YearsAtCompany]]&lt;1,"0-1",IF(Table1[[#This Row],[YearsAtCompany]]&lt;=3,"1-3",IF(Table1[[#This Row],[YearsAtCompany]]&lt;=6,"4-6","7+")))</f>
        <v>7+</v>
      </c>
      <c r="AH196">
        <f>Table1[[#This Row],[MonthlyIncome]]*12*0.75</f>
        <v>151128</v>
      </c>
      <c r="AI1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96">
        <f>IF(Table1[[#This Row],[Attrition]]="Yes",Table1[[#This Row],[EstReplacementCost]],0)</f>
        <v>0</v>
      </c>
    </row>
    <row r="197" spans="1:36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47</v>
      </c>
      <c r="P197">
        <v>1</v>
      </c>
      <c r="Q197" t="s">
        <v>48</v>
      </c>
      <c r="R197">
        <v>3564</v>
      </c>
      <c r="S197">
        <v>22977</v>
      </c>
      <c r="T197">
        <v>1</v>
      </c>
      <c r="U197" t="s">
        <v>35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tr">
        <f>IF(Table1[[#This Row],[YearsAtCompany]]&lt;1,"0-1",IF(Table1[[#This Row],[YearsAtCompany]]&lt;=3,"1-3",IF(Table1[[#This Row],[YearsAtCompany]]&lt;=6,"4-6","7+")))</f>
        <v>7+</v>
      </c>
      <c r="AH197">
        <f>Table1[[#This Row],[MonthlyIncome]]*12*0.75</f>
        <v>32076</v>
      </c>
      <c r="AI1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97">
        <f>IF(Table1[[#This Row],[Attrition]]="Yes",Table1[[#This Row],[EstReplacementCost]],0)</f>
        <v>0</v>
      </c>
    </row>
    <row r="198" spans="1:36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50</v>
      </c>
      <c r="P198">
        <v>2</v>
      </c>
      <c r="Q198" t="s">
        <v>41</v>
      </c>
      <c r="R198">
        <v>4425</v>
      </c>
      <c r="S198">
        <v>15986</v>
      </c>
      <c r="T198">
        <v>5</v>
      </c>
      <c r="U198" t="s">
        <v>43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tr">
        <f>IF(Table1[[#This Row],[YearsAtCompany]]&lt;1,"0-1",IF(Table1[[#This Row],[YearsAtCompany]]&lt;=3,"1-3",IF(Table1[[#This Row],[YearsAtCompany]]&lt;=6,"4-6","7+")))</f>
        <v>4-6</v>
      </c>
      <c r="AH198">
        <f>Table1[[#This Row],[MonthlyIncome]]*12*0.75</f>
        <v>39825</v>
      </c>
      <c r="AI1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98">
        <f>IF(Table1[[#This Row],[Attrition]]="Yes",Table1[[#This Row],[EstReplacementCost]],0)</f>
        <v>0</v>
      </c>
    </row>
    <row r="199" spans="1:36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53</v>
      </c>
      <c r="P199">
        <v>3</v>
      </c>
      <c r="Q199" t="s">
        <v>52</v>
      </c>
      <c r="R199">
        <v>5265</v>
      </c>
      <c r="S199">
        <v>16439</v>
      </c>
      <c r="T199">
        <v>2</v>
      </c>
      <c r="U199" t="s">
        <v>43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tr">
        <f>IF(Table1[[#This Row],[YearsAtCompany]]&lt;1,"0-1",IF(Table1[[#This Row],[YearsAtCompany]]&lt;=3,"1-3",IF(Table1[[#This Row],[YearsAtCompany]]&lt;=6,"4-6","7+")))</f>
        <v>4-6</v>
      </c>
      <c r="AH199">
        <f>Table1[[#This Row],[MonthlyIncome]]*12*0.75</f>
        <v>47385</v>
      </c>
      <c r="AI1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99">
        <f>IF(Table1[[#This Row],[Attrition]]="Yes",Table1[[#This Row],[EstReplacementCost]],0)</f>
        <v>0</v>
      </c>
    </row>
    <row r="200" spans="1:36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53</v>
      </c>
      <c r="P200">
        <v>3</v>
      </c>
      <c r="Q200" t="s">
        <v>48</v>
      </c>
      <c r="R200">
        <v>6553</v>
      </c>
      <c r="S200">
        <v>7259</v>
      </c>
      <c r="T200">
        <v>9</v>
      </c>
      <c r="U200" t="s">
        <v>43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tr">
        <f>IF(Table1[[#This Row],[YearsAtCompany]]&lt;1,"0-1",IF(Table1[[#This Row],[YearsAtCompany]]&lt;=3,"1-3",IF(Table1[[#This Row],[YearsAtCompany]]&lt;=6,"4-6","7+")))</f>
        <v>1-3</v>
      </c>
      <c r="AH200">
        <f>Table1[[#This Row],[MonthlyIncome]]*12*0.75</f>
        <v>58977</v>
      </c>
      <c r="AI2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00">
        <f>IF(Table1[[#This Row],[Attrition]]="Yes",Table1[[#This Row],[EstReplacementCost]],0)</f>
        <v>0</v>
      </c>
    </row>
    <row r="201" spans="1:36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53</v>
      </c>
      <c r="P201">
        <v>4</v>
      </c>
      <c r="Q201" t="s">
        <v>48</v>
      </c>
      <c r="R201">
        <v>6261</v>
      </c>
      <c r="S201">
        <v>4185</v>
      </c>
      <c r="T201">
        <v>3</v>
      </c>
      <c r="U201" t="s">
        <v>43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tr">
        <f>IF(Table1[[#This Row],[YearsAtCompany]]&lt;1,"0-1",IF(Table1[[#This Row],[YearsAtCompany]]&lt;=3,"1-3",IF(Table1[[#This Row],[YearsAtCompany]]&lt;=6,"4-6","7+")))</f>
        <v>7+</v>
      </c>
      <c r="AH201">
        <f>Table1[[#This Row],[MonthlyIncome]]*12*0.75</f>
        <v>56349</v>
      </c>
      <c r="AI2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01">
        <f>IF(Table1[[#This Row],[Attrition]]="Yes",Table1[[#This Row],[EstReplacementCost]],0)</f>
        <v>0</v>
      </c>
    </row>
    <row r="202" spans="1:36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53</v>
      </c>
      <c r="P202">
        <v>1</v>
      </c>
      <c r="Q202" t="s">
        <v>48</v>
      </c>
      <c r="R202">
        <v>4298</v>
      </c>
      <c r="S202">
        <v>9679</v>
      </c>
      <c r="T202">
        <v>5</v>
      </c>
      <c r="U202" t="s">
        <v>43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tr">
        <f>IF(Table1[[#This Row],[YearsAtCompany]]&lt;1,"0-1",IF(Table1[[#This Row],[YearsAtCompany]]&lt;=3,"1-3",IF(Table1[[#This Row],[YearsAtCompany]]&lt;=6,"4-6","7+")))</f>
        <v>1-3</v>
      </c>
      <c r="AH202">
        <f>Table1[[#This Row],[MonthlyIncome]]*12*0.75</f>
        <v>38682</v>
      </c>
      <c r="AI2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02">
        <f>IF(Table1[[#This Row],[Attrition]]="Yes",Table1[[#This Row],[EstReplacementCost]],0)</f>
        <v>0</v>
      </c>
    </row>
    <row r="203" spans="1:36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53</v>
      </c>
      <c r="P203">
        <v>4</v>
      </c>
      <c r="Q203" t="s">
        <v>52</v>
      </c>
      <c r="R203">
        <v>6804</v>
      </c>
      <c r="S203">
        <v>23793</v>
      </c>
      <c r="T203">
        <v>1</v>
      </c>
      <c r="U203" t="s">
        <v>35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tr">
        <f>IF(Table1[[#This Row],[YearsAtCompany]]&lt;1,"0-1",IF(Table1[[#This Row],[YearsAtCompany]]&lt;=3,"1-3",IF(Table1[[#This Row],[YearsAtCompany]]&lt;=6,"4-6","7+")))</f>
        <v>7+</v>
      </c>
      <c r="AH203">
        <f>Table1[[#This Row],[MonthlyIncome]]*12*0.75</f>
        <v>61236</v>
      </c>
      <c r="AI2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03">
        <f>IF(Table1[[#This Row],[Attrition]]="Yes",Table1[[#This Row],[EstReplacementCost]],0)</f>
        <v>0</v>
      </c>
    </row>
    <row r="204" spans="1:36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47</v>
      </c>
      <c r="P204">
        <v>3</v>
      </c>
      <c r="Q204" t="s">
        <v>52</v>
      </c>
      <c r="R204">
        <v>3815</v>
      </c>
      <c r="S204">
        <v>5972</v>
      </c>
      <c r="T204">
        <v>1</v>
      </c>
      <c r="U204" t="s">
        <v>35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tr">
        <f>IF(Table1[[#This Row],[YearsAtCompany]]&lt;1,"0-1",IF(Table1[[#This Row],[YearsAtCompany]]&lt;=3,"1-3",IF(Table1[[#This Row],[YearsAtCompany]]&lt;=6,"4-6","7+")))</f>
        <v>4-6</v>
      </c>
      <c r="AH204">
        <f>Table1[[#This Row],[MonthlyIncome]]*12*0.75</f>
        <v>34335</v>
      </c>
      <c r="AI2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04">
        <f>IF(Table1[[#This Row],[Attrition]]="Yes",Table1[[#This Row],[EstReplacementCost]],0)</f>
        <v>0</v>
      </c>
    </row>
    <row r="205" spans="1:36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50</v>
      </c>
      <c r="P205">
        <v>4</v>
      </c>
      <c r="Q205" t="s">
        <v>48</v>
      </c>
      <c r="R205">
        <v>2741</v>
      </c>
      <c r="S205">
        <v>16523</v>
      </c>
      <c r="T205">
        <v>8</v>
      </c>
      <c r="U205" t="s">
        <v>35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tr">
        <f>IF(Table1[[#This Row],[YearsAtCompany]]&lt;1,"0-1",IF(Table1[[#This Row],[YearsAtCompany]]&lt;=3,"1-3",IF(Table1[[#This Row],[YearsAtCompany]]&lt;=6,"4-6","7+")))</f>
        <v>7+</v>
      </c>
      <c r="AH205">
        <f>Table1[[#This Row],[MonthlyIncome]]*12*0.75</f>
        <v>24669</v>
      </c>
      <c r="AI2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05">
        <f>IF(Table1[[#This Row],[Attrition]]="Yes",Table1[[#This Row],[EstReplacementCost]],0)</f>
        <v>0</v>
      </c>
    </row>
    <row r="206" spans="1:36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54</v>
      </c>
      <c r="P206">
        <v>1</v>
      </c>
      <c r="Q206" t="s">
        <v>48</v>
      </c>
      <c r="R206">
        <v>6673</v>
      </c>
      <c r="S206">
        <v>11354</v>
      </c>
      <c r="T206">
        <v>7</v>
      </c>
      <c r="U206" t="s">
        <v>35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tr">
        <f>IF(Table1[[#This Row],[YearsAtCompany]]&lt;1,"0-1",IF(Table1[[#This Row],[YearsAtCompany]]&lt;=3,"1-3",IF(Table1[[#This Row],[YearsAtCompany]]&lt;=6,"4-6","7+")))</f>
        <v>1-3</v>
      </c>
      <c r="AH206">
        <f>Table1[[#This Row],[MonthlyIncome]]*12*0.75</f>
        <v>60057</v>
      </c>
      <c r="AI2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206">
        <f>IF(Table1[[#This Row],[Attrition]]="Yes",Table1[[#This Row],[EstReplacementCost]],0)</f>
        <v>60057</v>
      </c>
    </row>
    <row r="207" spans="1:36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48</v>
      </c>
      <c r="R207">
        <v>7639</v>
      </c>
      <c r="S207">
        <v>24525</v>
      </c>
      <c r="T207">
        <v>1</v>
      </c>
      <c r="U207" t="s">
        <v>43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tr">
        <f>IF(Table1[[#This Row],[YearsAtCompany]]&lt;1,"0-1",IF(Table1[[#This Row],[YearsAtCompany]]&lt;=3,"1-3",IF(Table1[[#This Row],[YearsAtCompany]]&lt;=6,"4-6","7+")))</f>
        <v>7+</v>
      </c>
      <c r="AH207">
        <f>Table1[[#This Row],[MonthlyIncome]]*12*0.75</f>
        <v>68751</v>
      </c>
      <c r="AI2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07">
        <f>IF(Table1[[#This Row],[Attrition]]="Yes",Table1[[#This Row],[EstReplacementCost]],0)</f>
        <v>68751</v>
      </c>
    </row>
    <row r="208" spans="1:36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47</v>
      </c>
      <c r="P208">
        <v>2</v>
      </c>
      <c r="Q208" t="s">
        <v>52</v>
      </c>
      <c r="R208">
        <v>2328</v>
      </c>
      <c r="S208">
        <v>12392</v>
      </c>
      <c r="T208">
        <v>1</v>
      </c>
      <c r="U208" t="s">
        <v>35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tr">
        <f>IF(Table1[[#This Row],[YearsAtCompany]]&lt;1,"0-1",IF(Table1[[#This Row],[YearsAtCompany]]&lt;=3,"1-3",IF(Table1[[#This Row],[YearsAtCompany]]&lt;=6,"4-6","7+")))</f>
        <v>4-6</v>
      </c>
      <c r="AH208">
        <f>Table1[[#This Row],[MonthlyIncome]]*12*0.75</f>
        <v>20952</v>
      </c>
      <c r="AI2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08">
        <f>IF(Table1[[#This Row],[Attrition]]="Yes",Table1[[#This Row],[EstReplacementCost]],0)</f>
        <v>0</v>
      </c>
    </row>
    <row r="209" spans="1:36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50</v>
      </c>
      <c r="P209">
        <v>4</v>
      </c>
      <c r="Q209" t="s">
        <v>41</v>
      </c>
      <c r="R209">
        <v>2153</v>
      </c>
      <c r="S209">
        <v>7703</v>
      </c>
      <c r="T209">
        <v>1</v>
      </c>
      <c r="U209" t="s">
        <v>43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tr">
        <f>IF(Table1[[#This Row],[YearsAtCompany]]&lt;1,"0-1",IF(Table1[[#This Row],[YearsAtCompany]]&lt;=3,"1-3",IF(Table1[[#This Row],[YearsAtCompany]]&lt;=6,"4-6","7+")))</f>
        <v>7+</v>
      </c>
      <c r="AH209">
        <f>Table1[[#This Row],[MonthlyIncome]]*12*0.75</f>
        <v>19377</v>
      </c>
      <c r="AI2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09">
        <f>IF(Table1[[#This Row],[Attrition]]="Yes",Table1[[#This Row],[EstReplacementCost]],0)</f>
        <v>0</v>
      </c>
    </row>
    <row r="210" spans="1:36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54</v>
      </c>
      <c r="P210">
        <v>4</v>
      </c>
      <c r="Q210" t="s">
        <v>48</v>
      </c>
      <c r="R210">
        <v>4876</v>
      </c>
      <c r="S210">
        <v>14242</v>
      </c>
      <c r="T210">
        <v>9</v>
      </c>
      <c r="U210" t="s">
        <v>43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tr">
        <f>IF(Table1[[#This Row],[YearsAtCompany]]&lt;1,"0-1",IF(Table1[[#This Row],[YearsAtCompany]]&lt;=3,"1-3",IF(Table1[[#This Row],[YearsAtCompany]]&lt;=6,"4-6","7+")))</f>
        <v>1-3</v>
      </c>
      <c r="AH210">
        <f>Table1[[#This Row],[MonthlyIncome]]*12*0.75</f>
        <v>43884</v>
      </c>
      <c r="AI2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10">
        <f>IF(Table1[[#This Row],[Attrition]]="Yes",Table1[[#This Row],[EstReplacementCost]],0)</f>
        <v>0</v>
      </c>
    </row>
    <row r="211" spans="1:36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54</v>
      </c>
      <c r="P211">
        <v>1</v>
      </c>
      <c r="Q211" t="s">
        <v>52</v>
      </c>
      <c r="R211">
        <v>9396</v>
      </c>
      <c r="S211">
        <v>12368</v>
      </c>
      <c r="T211">
        <v>7</v>
      </c>
      <c r="U211" t="s">
        <v>43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tr">
        <f>IF(Table1[[#This Row],[YearsAtCompany]]&lt;1,"0-1",IF(Table1[[#This Row],[YearsAtCompany]]&lt;=3,"1-3",IF(Table1[[#This Row],[YearsAtCompany]]&lt;=6,"4-6","7+")))</f>
        <v>4-6</v>
      </c>
      <c r="AH211">
        <f>Table1[[#This Row],[MonthlyIncome]]*12*0.75</f>
        <v>84564</v>
      </c>
      <c r="AI2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11">
        <f>IF(Table1[[#This Row],[Attrition]]="Yes",Table1[[#This Row],[EstReplacementCost]],0)</f>
        <v>0</v>
      </c>
    </row>
    <row r="212" spans="1:36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48</v>
      </c>
      <c r="R212">
        <v>10400</v>
      </c>
      <c r="S212">
        <v>25812</v>
      </c>
      <c r="T212">
        <v>1</v>
      </c>
      <c r="U212" t="s">
        <v>43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tr">
        <f>IF(Table1[[#This Row],[YearsAtCompany]]&lt;1,"0-1",IF(Table1[[#This Row],[YearsAtCompany]]&lt;=3,"1-3",IF(Table1[[#This Row],[YearsAtCompany]]&lt;=6,"4-6","7+")))</f>
        <v>7+</v>
      </c>
      <c r="AH212">
        <f>Table1[[#This Row],[MonthlyIncome]]*12*0.75</f>
        <v>93600</v>
      </c>
      <c r="AI2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12">
        <f>IF(Table1[[#This Row],[Attrition]]="Yes",Table1[[#This Row],[EstReplacementCost]],0)</f>
        <v>93600</v>
      </c>
    </row>
    <row r="213" spans="1:36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53</v>
      </c>
      <c r="P213">
        <v>3</v>
      </c>
      <c r="Q213" t="s">
        <v>41</v>
      </c>
      <c r="R213">
        <v>8474</v>
      </c>
      <c r="S213">
        <v>20925</v>
      </c>
      <c r="T213">
        <v>1</v>
      </c>
      <c r="U213" t="s">
        <v>43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tr">
        <f>IF(Table1[[#This Row],[YearsAtCompany]]&lt;1,"0-1",IF(Table1[[#This Row],[YearsAtCompany]]&lt;=3,"1-3",IF(Table1[[#This Row],[YearsAtCompany]]&lt;=6,"4-6","7+")))</f>
        <v>7+</v>
      </c>
      <c r="AH213">
        <f>Table1[[#This Row],[MonthlyIncome]]*12*0.75</f>
        <v>76266</v>
      </c>
      <c r="AI2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13">
        <f>IF(Table1[[#This Row],[Attrition]]="Yes",Table1[[#This Row],[EstReplacementCost]],0)</f>
        <v>0</v>
      </c>
    </row>
    <row r="214" spans="1:36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>
        <v>9981</v>
      </c>
      <c r="S214">
        <v>12916</v>
      </c>
      <c r="T214">
        <v>1</v>
      </c>
      <c r="U214" t="s">
        <v>43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tr">
        <f>IF(Table1[[#This Row],[YearsAtCompany]]&lt;1,"0-1",IF(Table1[[#This Row],[YearsAtCompany]]&lt;=3,"1-3",IF(Table1[[#This Row],[YearsAtCompany]]&lt;=6,"4-6","7+")))</f>
        <v>7+</v>
      </c>
      <c r="AH214">
        <f>Table1[[#This Row],[MonthlyIncome]]*12*0.75</f>
        <v>89829</v>
      </c>
      <c r="AI2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14">
        <f>IF(Table1[[#This Row],[Attrition]]="Yes",Table1[[#This Row],[EstReplacementCost]],0)</f>
        <v>0</v>
      </c>
    </row>
    <row r="215" spans="1:36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58</v>
      </c>
      <c r="P215">
        <v>2</v>
      </c>
      <c r="Q215" t="s">
        <v>48</v>
      </c>
      <c r="R215">
        <v>12490</v>
      </c>
      <c r="S215">
        <v>15736</v>
      </c>
      <c r="T215">
        <v>5</v>
      </c>
      <c r="U215" t="s">
        <v>43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tr">
        <f>IF(Table1[[#This Row],[YearsAtCompany]]&lt;1,"0-1",IF(Table1[[#This Row],[YearsAtCompany]]&lt;=3,"1-3",IF(Table1[[#This Row],[YearsAtCompany]]&lt;=6,"4-6","7+")))</f>
        <v>7+</v>
      </c>
      <c r="AH215">
        <f>Table1[[#This Row],[MonthlyIncome]]*12*0.75</f>
        <v>112410</v>
      </c>
      <c r="AI2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15">
        <f>IF(Table1[[#This Row],[Attrition]]="Yes",Table1[[#This Row],[EstReplacementCost]],0)</f>
        <v>0</v>
      </c>
    </row>
    <row r="216" spans="1:36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47</v>
      </c>
      <c r="P216">
        <v>1</v>
      </c>
      <c r="Q216" t="s">
        <v>41</v>
      </c>
      <c r="R216">
        <v>2657</v>
      </c>
      <c r="S216">
        <v>8556</v>
      </c>
      <c r="T216">
        <v>5</v>
      </c>
      <c r="U216" t="s">
        <v>35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tr">
        <f>IF(Table1[[#This Row],[YearsAtCompany]]&lt;1,"0-1",IF(Table1[[#This Row],[YearsAtCompany]]&lt;=3,"1-3",IF(Table1[[#This Row],[YearsAtCompany]]&lt;=6,"4-6","7+")))</f>
        <v>4-6</v>
      </c>
      <c r="AH216">
        <f>Table1[[#This Row],[MonthlyIncome]]*12*0.75</f>
        <v>23913</v>
      </c>
      <c r="AI2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16">
        <f>IF(Table1[[#This Row],[Attrition]]="Yes",Table1[[#This Row],[EstReplacementCost]],0)</f>
        <v>23913</v>
      </c>
    </row>
    <row r="217" spans="1:36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56</v>
      </c>
      <c r="P217">
        <v>4</v>
      </c>
      <c r="Q217" t="s">
        <v>41</v>
      </c>
      <c r="R217">
        <v>13591</v>
      </c>
      <c r="S217">
        <v>14674</v>
      </c>
      <c r="T217">
        <v>3</v>
      </c>
      <c r="U217" t="s">
        <v>35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tr">
        <f>IF(Table1[[#This Row],[YearsAtCompany]]&lt;1,"0-1",IF(Table1[[#This Row],[YearsAtCompany]]&lt;=3,"1-3",IF(Table1[[#This Row],[YearsAtCompany]]&lt;=6,"4-6","7+")))</f>
        <v>1-3</v>
      </c>
      <c r="AH217">
        <f>Table1[[#This Row],[MonthlyIncome]]*12*0.75</f>
        <v>122319</v>
      </c>
      <c r="AI2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17">
        <f>IF(Table1[[#This Row],[Attrition]]="Yes",Table1[[#This Row],[EstReplacementCost]],0)</f>
        <v>0</v>
      </c>
    </row>
    <row r="218" spans="1:36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>
        <v>6696</v>
      </c>
      <c r="S218">
        <v>22967</v>
      </c>
      <c r="T218">
        <v>5</v>
      </c>
      <c r="U218" t="s">
        <v>43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tr">
        <f>IF(Table1[[#This Row],[YearsAtCompany]]&lt;1,"0-1",IF(Table1[[#This Row],[YearsAtCompany]]&lt;=3,"1-3",IF(Table1[[#This Row],[YearsAtCompany]]&lt;=6,"4-6","7+")))</f>
        <v>4-6</v>
      </c>
      <c r="AH218">
        <f>Table1[[#This Row],[MonthlyIncome]]*12*0.75</f>
        <v>60264</v>
      </c>
      <c r="AI2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18">
        <f>IF(Table1[[#This Row],[Attrition]]="Yes",Table1[[#This Row],[EstReplacementCost]],0)</f>
        <v>60264</v>
      </c>
    </row>
    <row r="219" spans="1:36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47</v>
      </c>
      <c r="P219">
        <v>3</v>
      </c>
      <c r="Q219" t="s">
        <v>41</v>
      </c>
      <c r="R219">
        <v>2058</v>
      </c>
      <c r="S219">
        <v>19757</v>
      </c>
      <c r="T219">
        <v>0</v>
      </c>
      <c r="U219" t="s">
        <v>43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tr">
        <f>IF(Table1[[#This Row],[YearsAtCompany]]&lt;1,"0-1",IF(Table1[[#This Row],[YearsAtCompany]]&lt;=3,"1-3",IF(Table1[[#This Row],[YearsAtCompany]]&lt;=6,"4-6","7+")))</f>
        <v>4-6</v>
      </c>
      <c r="AH219">
        <f>Table1[[#This Row],[MonthlyIncome]]*12*0.75</f>
        <v>18522</v>
      </c>
      <c r="AI2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19">
        <f>IF(Table1[[#This Row],[Attrition]]="Yes",Table1[[#This Row],[EstReplacementCost]],0)</f>
        <v>18522</v>
      </c>
    </row>
    <row r="220" spans="1:36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>
        <v>8865</v>
      </c>
      <c r="S220">
        <v>16840</v>
      </c>
      <c r="T220">
        <v>6</v>
      </c>
      <c r="U220" t="s">
        <v>43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tr">
        <f>IF(Table1[[#This Row],[YearsAtCompany]]&lt;1,"0-1",IF(Table1[[#This Row],[YearsAtCompany]]&lt;=3,"1-3",IF(Table1[[#This Row],[YearsAtCompany]]&lt;=6,"4-6","7+")))</f>
        <v>7+</v>
      </c>
      <c r="AH220">
        <f>Table1[[#This Row],[MonthlyIncome]]*12*0.75</f>
        <v>79785</v>
      </c>
      <c r="AI2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20">
        <f>IF(Table1[[#This Row],[Attrition]]="Yes",Table1[[#This Row],[EstReplacementCost]],0)</f>
        <v>0</v>
      </c>
    </row>
    <row r="221" spans="1:36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48</v>
      </c>
      <c r="R221">
        <v>5940</v>
      </c>
      <c r="S221">
        <v>17011</v>
      </c>
      <c r="T221">
        <v>2</v>
      </c>
      <c r="U221" t="s">
        <v>43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tr">
        <f>IF(Table1[[#This Row],[YearsAtCompany]]&lt;1,"0-1",IF(Table1[[#This Row],[YearsAtCompany]]&lt;=3,"1-3",IF(Table1[[#This Row],[YearsAtCompany]]&lt;=6,"4-6","7+")))</f>
        <v>4-6</v>
      </c>
      <c r="AH221">
        <f>Table1[[#This Row],[MonthlyIncome]]*12*0.75</f>
        <v>53460</v>
      </c>
      <c r="AI2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21">
        <f>IF(Table1[[#This Row],[Attrition]]="Yes",Table1[[#This Row],[EstReplacementCost]],0)</f>
        <v>0</v>
      </c>
    </row>
    <row r="222" spans="1:36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50</v>
      </c>
      <c r="P222">
        <v>2</v>
      </c>
      <c r="Q222" t="s">
        <v>41</v>
      </c>
      <c r="R222">
        <v>5914</v>
      </c>
      <c r="S222">
        <v>9945</v>
      </c>
      <c r="T222">
        <v>8</v>
      </c>
      <c r="U222" t="s">
        <v>43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tr">
        <f>IF(Table1[[#This Row],[YearsAtCompany]]&lt;1,"0-1",IF(Table1[[#This Row],[YearsAtCompany]]&lt;=3,"1-3",IF(Table1[[#This Row],[YearsAtCompany]]&lt;=6,"4-6","7+")))</f>
        <v>7+</v>
      </c>
      <c r="AH222">
        <f>Table1[[#This Row],[MonthlyIncome]]*12*0.75</f>
        <v>53226</v>
      </c>
      <c r="AI2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22">
        <f>IF(Table1[[#This Row],[Attrition]]="Yes",Table1[[#This Row],[EstReplacementCost]],0)</f>
        <v>0</v>
      </c>
    </row>
    <row r="223" spans="1:36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47</v>
      </c>
      <c r="P223">
        <v>2</v>
      </c>
      <c r="Q223" t="s">
        <v>48</v>
      </c>
      <c r="R223">
        <v>2622</v>
      </c>
      <c r="S223">
        <v>13248</v>
      </c>
      <c r="T223">
        <v>6</v>
      </c>
      <c r="U223" t="s">
        <v>43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tr">
        <f>IF(Table1[[#This Row],[YearsAtCompany]]&lt;1,"0-1",IF(Table1[[#This Row],[YearsAtCompany]]&lt;=3,"1-3",IF(Table1[[#This Row],[YearsAtCompany]]&lt;=6,"4-6","7+")))</f>
        <v>1-3</v>
      </c>
      <c r="AH223">
        <f>Table1[[#This Row],[MonthlyIncome]]*12*0.75</f>
        <v>23598</v>
      </c>
      <c r="AI2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23">
        <f>IF(Table1[[#This Row],[Attrition]]="Yes",Table1[[#This Row],[EstReplacementCost]],0)</f>
        <v>0</v>
      </c>
    </row>
    <row r="224" spans="1:36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58</v>
      </c>
      <c r="P224">
        <v>4</v>
      </c>
      <c r="Q224" t="s">
        <v>52</v>
      </c>
      <c r="R224">
        <v>12185</v>
      </c>
      <c r="S224">
        <v>10056</v>
      </c>
      <c r="T224">
        <v>1</v>
      </c>
      <c r="U224" t="s">
        <v>35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tr">
        <f>IF(Table1[[#This Row],[YearsAtCompany]]&lt;1,"0-1",IF(Table1[[#This Row],[YearsAtCompany]]&lt;=3,"1-3",IF(Table1[[#This Row],[YearsAtCompany]]&lt;=6,"4-6","7+")))</f>
        <v>7+</v>
      </c>
      <c r="AH224">
        <f>Table1[[#This Row],[MonthlyIncome]]*12*0.75</f>
        <v>109665</v>
      </c>
      <c r="AI2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24">
        <f>IF(Table1[[#This Row],[Attrition]]="Yes",Table1[[#This Row],[EstReplacementCost]],0)</f>
        <v>0</v>
      </c>
    </row>
    <row r="225" spans="1:36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52</v>
      </c>
      <c r="R225">
        <v>10609</v>
      </c>
      <c r="S225">
        <v>9647</v>
      </c>
      <c r="T225">
        <v>0</v>
      </c>
      <c r="U225" t="s">
        <v>43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tr">
        <f>IF(Table1[[#This Row],[YearsAtCompany]]&lt;1,"0-1",IF(Table1[[#This Row],[YearsAtCompany]]&lt;=3,"1-3",IF(Table1[[#This Row],[YearsAtCompany]]&lt;=6,"4-6","7+")))</f>
        <v>7+</v>
      </c>
      <c r="AH225">
        <f>Table1[[#This Row],[MonthlyIncome]]*12*0.75</f>
        <v>95481</v>
      </c>
      <c r="AI2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25">
        <f>IF(Table1[[#This Row],[Attrition]]="Yes",Table1[[#This Row],[EstReplacementCost]],0)</f>
        <v>0</v>
      </c>
    </row>
    <row r="226" spans="1:36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53</v>
      </c>
      <c r="P226">
        <v>3</v>
      </c>
      <c r="Q226" t="s">
        <v>48</v>
      </c>
      <c r="R226">
        <v>4345</v>
      </c>
      <c r="S226">
        <v>4381</v>
      </c>
      <c r="T226">
        <v>0</v>
      </c>
      <c r="U226" t="s">
        <v>43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tr">
        <f>IF(Table1[[#This Row],[YearsAtCompany]]&lt;1,"0-1",IF(Table1[[#This Row],[YearsAtCompany]]&lt;=3,"1-3",IF(Table1[[#This Row],[YearsAtCompany]]&lt;=6,"4-6","7+")))</f>
        <v>4-6</v>
      </c>
      <c r="AH226">
        <f>Table1[[#This Row],[MonthlyIncome]]*12*0.75</f>
        <v>39105</v>
      </c>
      <c r="AI2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26">
        <f>IF(Table1[[#This Row],[Attrition]]="Yes",Table1[[#This Row],[EstReplacementCost]],0)</f>
        <v>0</v>
      </c>
    </row>
    <row r="227" spans="1:36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47</v>
      </c>
      <c r="P227">
        <v>4</v>
      </c>
      <c r="Q227" t="s">
        <v>48</v>
      </c>
      <c r="R227">
        <v>2177</v>
      </c>
      <c r="S227">
        <v>8456</v>
      </c>
      <c r="T227">
        <v>3</v>
      </c>
      <c r="U227" t="s">
        <v>43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tr">
        <f>IF(Table1[[#This Row],[YearsAtCompany]]&lt;1,"0-1",IF(Table1[[#This Row],[YearsAtCompany]]&lt;=3,"1-3",IF(Table1[[#This Row],[YearsAtCompany]]&lt;=6,"4-6","7+")))</f>
        <v>1-3</v>
      </c>
      <c r="AH227">
        <f>Table1[[#This Row],[MonthlyIncome]]*12*0.75</f>
        <v>19593</v>
      </c>
      <c r="AI2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27">
        <f>IF(Table1[[#This Row],[Attrition]]="Yes",Table1[[#This Row],[EstReplacementCost]],0)</f>
        <v>0</v>
      </c>
    </row>
    <row r="228" spans="1:36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57</v>
      </c>
      <c r="P228">
        <v>4</v>
      </c>
      <c r="Q228" t="s">
        <v>52</v>
      </c>
      <c r="R228">
        <v>2793</v>
      </c>
      <c r="S228">
        <v>2539</v>
      </c>
      <c r="T228">
        <v>4</v>
      </c>
      <c r="U228" t="s">
        <v>43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tr">
        <f>IF(Table1[[#This Row],[YearsAtCompany]]&lt;1,"0-1",IF(Table1[[#This Row],[YearsAtCompany]]&lt;=3,"1-3",IF(Table1[[#This Row],[YearsAtCompany]]&lt;=6,"4-6","7+")))</f>
        <v>7+</v>
      </c>
      <c r="AH228">
        <f>Table1[[#This Row],[MonthlyIncome]]*12*0.75</f>
        <v>25137</v>
      </c>
      <c r="AI2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28">
        <f>IF(Table1[[#This Row],[Attrition]]="Yes",Table1[[#This Row],[EstReplacementCost]],0)</f>
        <v>0</v>
      </c>
    </row>
    <row r="229" spans="1:36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48</v>
      </c>
      <c r="R229">
        <v>7918</v>
      </c>
      <c r="S229">
        <v>6599</v>
      </c>
      <c r="T229">
        <v>1</v>
      </c>
      <c r="U229" t="s">
        <v>43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tr">
        <f>IF(Table1[[#This Row],[YearsAtCompany]]&lt;1,"0-1",IF(Table1[[#This Row],[YearsAtCompany]]&lt;=3,"1-3",IF(Table1[[#This Row],[YearsAtCompany]]&lt;=6,"4-6","7+")))</f>
        <v>7+</v>
      </c>
      <c r="AH229">
        <f>Table1[[#This Row],[MonthlyIncome]]*12*0.75</f>
        <v>71262</v>
      </c>
      <c r="AI2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29">
        <f>IF(Table1[[#This Row],[Attrition]]="Yes",Table1[[#This Row],[EstReplacementCost]],0)</f>
        <v>0</v>
      </c>
    </row>
    <row r="230" spans="1:36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>
        <v>8789</v>
      </c>
      <c r="S230">
        <v>9096</v>
      </c>
      <c r="T230">
        <v>1</v>
      </c>
      <c r="U230" t="s">
        <v>43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tr">
        <f>IF(Table1[[#This Row],[YearsAtCompany]]&lt;1,"0-1",IF(Table1[[#This Row],[YearsAtCompany]]&lt;=3,"1-3",IF(Table1[[#This Row],[YearsAtCompany]]&lt;=6,"4-6","7+")))</f>
        <v>7+</v>
      </c>
      <c r="AH230">
        <f>Table1[[#This Row],[MonthlyIncome]]*12*0.75</f>
        <v>79101</v>
      </c>
      <c r="AI2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30">
        <f>IF(Table1[[#This Row],[Attrition]]="Yes",Table1[[#This Row],[EstReplacementCost]],0)</f>
        <v>0</v>
      </c>
    </row>
    <row r="231" spans="1:36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47</v>
      </c>
      <c r="P231">
        <v>4</v>
      </c>
      <c r="Q231" t="s">
        <v>41</v>
      </c>
      <c r="R231">
        <v>2389</v>
      </c>
      <c r="S231">
        <v>14961</v>
      </c>
      <c r="T231">
        <v>1</v>
      </c>
      <c r="U231" t="s">
        <v>35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tr">
        <f>IF(Table1[[#This Row],[YearsAtCompany]]&lt;1,"0-1",IF(Table1[[#This Row],[YearsAtCompany]]&lt;=3,"1-3",IF(Table1[[#This Row],[YearsAtCompany]]&lt;=6,"4-6","7+")))</f>
        <v>4-6</v>
      </c>
      <c r="AH231">
        <f>Table1[[#This Row],[MonthlyIncome]]*12*0.75</f>
        <v>21501</v>
      </c>
      <c r="AI2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31">
        <f>IF(Table1[[#This Row],[Attrition]]="Yes",Table1[[#This Row],[EstReplacementCost]],0)</f>
        <v>21501</v>
      </c>
    </row>
    <row r="232" spans="1:36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50</v>
      </c>
      <c r="P232">
        <v>4</v>
      </c>
      <c r="Q232" t="s">
        <v>41</v>
      </c>
      <c r="R232">
        <v>3212</v>
      </c>
      <c r="S232">
        <v>3300</v>
      </c>
      <c r="T232">
        <v>7</v>
      </c>
      <c r="U232" t="s">
        <v>43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tr">
        <f>IF(Table1[[#This Row],[YearsAtCompany]]&lt;1,"0-1",IF(Table1[[#This Row],[YearsAtCompany]]&lt;=3,"1-3",IF(Table1[[#This Row],[YearsAtCompany]]&lt;=6,"4-6","7+")))</f>
        <v>1-3</v>
      </c>
      <c r="AH232">
        <f>Table1[[#This Row],[MonthlyIncome]]*12*0.75</f>
        <v>28908</v>
      </c>
      <c r="AI2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32">
        <f>IF(Table1[[#This Row],[Attrition]]="Yes",Table1[[#This Row],[EstReplacementCost]],0)</f>
        <v>0</v>
      </c>
    </row>
    <row r="233" spans="1:36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56</v>
      </c>
      <c r="P233">
        <v>4</v>
      </c>
      <c r="Q233" t="s">
        <v>48</v>
      </c>
      <c r="R233">
        <v>19232</v>
      </c>
      <c r="S233">
        <v>4933</v>
      </c>
      <c r="T233">
        <v>1</v>
      </c>
      <c r="U233" t="s">
        <v>43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tr">
        <f>IF(Table1[[#This Row],[YearsAtCompany]]&lt;1,"0-1",IF(Table1[[#This Row],[YearsAtCompany]]&lt;=3,"1-3",IF(Table1[[#This Row],[YearsAtCompany]]&lt;=6,"4-6","7+")))</f>
        <v>7+</v>
      </c>
      <c r="AH233">
        <f>Table1[[#This Row],[MonthlyIncome]]*12*0.75</f>
        <v>173088</v>
      </c>
      <c r="AI2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33">
        <f>IF(Table1[[#This Row],[Attrition]]="Yes",Table1[[#This Row],[EstReplacementCost]],0)</f>
        <v>0</v>
      </c>
    </row>
    <row r="234" spans="1:36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61</v>
      </c>
      <c r="P234">
        <v>3</v>
      </c>
      <c r="Q234" t="s">
        <v>48</v>
      </c>
      <c r="R234">
        <v>2267</v>
      </c>
      <c r="S234">
        <v>25657</v>
      </c>
      <c r="T234">
        <v>8</v>
      </c>
      <c r="U234" t="s">
        <v>43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tr">
        <f>IF(Table1[[#This Row],[YearsAtCompany]]&lt;1,"0-1",IF(Table1[[#This Row],[YearsAtCompany]]&lt;=3,"1-3",IF(Table1[[#This Row],[YearsAtCompany]]&lt;=6,"4-6","7+")))</f>
        <v>1-3</v>
      </c>
      <c r="AH234">
        <f>Table1[[#This Row],[MonthlyIncome]]*12*0.75</f>
        <v>20403</v>
      </c>
      <c r="AI2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34">
        <f>IF(Table1[[#This Row],[Attrition]]="Yes",Table1[[#This Row],[EstReplacementCost]],0)</f>
        <v>0</v>
      </c>
    </row>
    <row r="235" spans="1:36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56</v>
      </c>
      <c r="P235">
        <v>4</v>
      </c>
      <c r="Q235" t="s">
        <v>52</v>
      </c>
      <c r="R235">
        <v>19517</v>
      </c>
      <c r="S235">
        <v>24118</v>
      </c>
      <c r="T235">
        <v>3</v>
      </c>
      <c r="U235" t="s">
        <v>43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tr">
        <f>IF(Table1[[#This Row],[YearsAtCompany]]&lt;1,"0-1",IF(Table1[[#This Row],[YearsAtCompany]]&lt;=3,"1-3",IF(Table1[[#This Row],[YearsAtCompany]]&lt;=6,"4-6","7+")))</f>
        <v>7+</v>
      </c>
      <c r="AH235">
        <f>Table1[[#This Row],[MonthlyIncome]]*12*0.75</f>
        <v>175653</v>
      </c>
      <c r="AI2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35">
        <f>IF(Table1[[#This Row],[Attrition]]="Yes",Table1[[#This Row],[EstReplacementCost]],0)</f>
        <v>0</v>
      </c>
    </row>
    <row r="236" spans="1:36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50</v>
      </c>
      <c r="P236">
        <v>4</v>
      </c>
      <c r="Q236" t="s">
        <v>48</v>
      </c>
      <c r="R236">
        <v>2436</v>
      </c>
      <c r="S236">
        <v>22149</v>
      </c>
      <c r="T236">
        <v>5</v>
      </c>
      <c r="U236" t="s">
        <v>35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tr">
        <f>IF(Table1[[#This Row],[YearsAtCompany]]&lt;1,"0-1",IF(Table1[[#This Row],[YearsAtCompany]]&lt;=3,"1-3",IF(Table1[[#This Row],[YearsAtCompany]]&lt;=6,"4-6","7+")))</f>
        <v>4-6</v>
      </c>
      <c r="AH236">
        <f>Table1[[#This Row],[MonthlyIncome]]*12*0.75</f>
        <v>21924</v>
      </c>
      <c r="AI2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36">
        <f>IF(Table1[[#This Row],[Attrition]]="Yes",Table1[[#This Row],[EstReplacementCost]],0)</f>
        <v>21924</v>
      </c>
    </row>
    <row r="237" spans="1:36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56</v>
      </c>
      <c r="P237">
        <v>4</v>
      </c>
      <c r="Q237" t="s">
        <v>48</v>
      </c>
      <c r="R237">
        <v>16064</v>
      </c>
      <c r="S237">
        <v>7744</v>
      </c>
      <c r="T237">
        <v>5</v>
      </c>
      <c r="U237" t="s">
        <v>35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tr">
        <f>IF(Table1[[#This Row],[YearsAtCompany]]&lt;1,"0-1",IF(Table1[[#This Row],[YearsAtCompany]]&lt;=3,"1-3",IF(Table1[[#This Row],[YearsAtCompany]]&lt;=6,"4-6","7+")))</f>
        <v>7+</v>
      </c>
      <c r="AH237">
        <f>Table1[[#This Row],[MonthlyIncome]]*12*0.75</f>
        <v>144576</v>
      </c>
      <c r="AI2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37">
        <f>IF(Table1[[#This Row],[Attrition]]="Yes",Table1[[#This Row],[EstReplacementCost]],0)</f>
        <v>0</v>
      </c>
    </row>
    <row r="238" spans="1:36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50</v>
      </c>
      <c r="P238">
        <v>1</v>
      </c>
      <c r="Q238" t="s">
        <v>48</v>
      </c>
      <c r="R238">
        <v>2707</v>
      </c>
      <c r="S238">
        <v>21509</v>
      </c>
      <c r="T238">
        <v>7</v>
      </c>
      <c r="U238" t="s">
        <v>43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tr">
        <f>IF(Table1[[#This Row],[YearsAtCompany]]&lt;1,"0-1",IF(Table1[[#This Row],[YearsAtCompany]]&lt;=3,"1-3",IF(Table1[[#This Row],[YearsAtCompany]]&lt;=6,"4-6","7+")))</f>
        <v>7+</v>
      </c>
      <c r="AH238">
        <f>Table1[[#This Row],[MonthlyIncome]]*12*0.75</f>
        <v>24363</v>
      </c>
      <c r="AI2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38">
        <f>IF(Table1[[#This Row],[Attrition]]="Yes",Table1[[#This Row],[EstReplacementCost]],0)</f>
        <v>24363</v>
      </c>
    </row>
    <row r="239" spans="1:36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56</v>
      </c>
      <c r="P239">
        <v>3</v>
      </c>
      <c r="Q239" t="s">
        <v>41</v>
      </c>
      <c r="R239">
        <v>19068</v>
      </c>
      <c r="S239">
        <v>21030</v>
      </c>
      <c r="T239">
        <v>1</v>
      </c>
      <c r="U239" t="s">
        <v>35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tr">
        <f>IF(Table1[[#This Row],[YearsAtCompany]]&lt;1,"0-1",IF(Table1[[#This Row],[YearsAtCompany]]&lt;=3,"1-3",IF(Table1[[#This Row],[YearsAtCompany]]&lt;=6,"4-6","7+")))</f>
        <v>7+</v>
      </c>
      <c r="AH239">
        <f>Table1[[#This Row],[MonthlyIncome]]*12*0.75</f>
        <v>171612</v>
      </c>
      <c r="AI2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39">
        <f>IF(Table1[[#This Row],[Attrition]]="Yes",Table1[[#This Row],[EstReplacementCost]],0)</f>
        <v>0</v>
      </c>
    </row>
    <row r="240" spans="1:36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57</v>
      </c>
      <c r="P240">
        <v>2</v>
      </c>
      <c r="Q240" t="s">
        <v>48</v>
      </c>
      <c r="R240">
        <v>3931</v>
      </c>
      <c r="S240">
        <v>20990</v>
      </c>
      <c r="T240">
        <v>2</v>
      </c>
      <c r="U240" t="s">
        <v>43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tr">
        <f>IF(Table1[[#This Row],[YearsAtCompany]]&lt;1,"0-1",IF(Table1[[#This Row],[YearsAtCompany]]&lt;=3,"1-3",IF(Table1[[#This Row],[YearsAtCompany]]&lt;=6,"4-6","7+")))</f>
        <v>4-6</v>
      </c>
      <c r="AH240">
        <f>Table1[[#This Row],[MonthlyIncome]]*12*0.75</f>
        <v>35379</v>
      </c>
      <c r="AI2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40">
        <f>IF(Table1[[#This Row],[Attrition]]="Yes",Table1[[#This Row],[EstReplacementCost]],0)</f>
        <v>0</v>
      </c>
    </row>
    <row r="241" spans="1:36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50</v>
      </c>
      <c r="P241">
        <v>3</v>
      </c>
      <c r="Q241" t="s">
        <v>41</v>
      </c>
      <c r="R241">
        <v>3730</v>
      </c>
      <c r="S241">
        <v>9571</v>
      </c>
      <c r="T241">
        <v>0</v>
      </c>
      <c r="U241" t="s">
        <v>35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tr">
        <f>IF(Table1[[#This Row],[YearsAtCompany]]&lt;1,"0-1",IF(Table1[[#This Row],[YearsAtCompany]]&lt;=3,"1-3",IF(Table1[[#This Row],[YearsAtCompany]]&lt;=6,"4-6","7+")))</f>
        <v>1-3</v>
      </c>
      <c r="AH241">
        <f>Table1[[#This Row],[MonthlyIncome]]*12*0.75</f>
        <v>33570</v>
      </c>
      <c r="AI2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41">
        <f>IF(Table1[[#This Row],[Attrition]]="Yes",Table1[[#This Row],[EstReplacementCost]],0)</f>
        <v>33570</v>
      </c>
    </row>
    <row r="242" spans="1:36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50</v>
      </c>
      <c r="P242">
        <v>3</v>
      </c>
      <c r="Q242" t="s">
        <v>52</v>
      </c>
      <c r="R242">
        <v>2232</v>
      </c>
      <c r="S242">
        <v>15417</v>
      </c>
      <c r="T242">
        <v>7</v>
      </c>
      <c r="U242" t="s">
        <v>43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tr">
        <f>IF(Table1[[#This Row],[YearsAtCompany]]&lt;1,"0-1",IF(Table1[[#This Row],[YearsAtCompany]]&lt;=3,"1-3",IF(Table1[[#This Row],[YearsAtCompany]]&lt;=6,"4-6","7+")))</f>
        <v>1-3</v>
      </c>
      <c r="AH242">
        <f>Table1[[#This Row],[MonthlyIncome]]*12*0.75</f>
        <v>20088</v>
      </c>
      <c r="AI2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42">
        <f>IF(Table1[[#This Row],[Attrition]]="Yes",Table1[[#This Row],[EstReplacementCost]],0)</f>
        <v>0</v>
      </c>
    </row>
    <row r="243" spans="1:36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48</v>
      </c>
      <c r="R243">
        <v>4465</v>
      </c>
      <c r="S243">
        <v>12069</v>
      </c>
      <c r="T243">
        <v>0</v>
      </c>
      <c r="U243" t="s">
        <v>43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tr">
        <f>IF(Table1[[#This Row],[YearsAtCompany]]&lt;1,"0-1",IF(Table1[[#This Row],[YearsAtCompany]]&lt;=3,"1-3",IF(Table1[[#This Row],[YearsAtCompany]]&lt;=6,"4-6","7+")))</f>
        <v>1-3</v>
      </c>
      <c r="AH243">
        <f>Table1[[#This Row],[MonthlyIncome]]*12*0.75</f>
        <v>40185</v>
      </c>
      <c r="AI2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43">
        <f>IF(Table1[[#This Row],[Attrition]]="Yes",Table1[[#This Row],[EstReplacementCost]],0)</f>
        <v>0</v>
      </c>
    </row>
    <row r="244" spans="1:36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47</v>
      </c>
      <c r="P244">
        <v>1</v>
      </c>
      <c r="Q244" t="s">
        <v>52</v>
      </c>
      <c r="R244">
        <v>3072</v>
      </c>
      <c r="S244">
        <v>19877</v>
      </c>
      <c r="T244">
        <v>2</v>
      </c>
      <c r="U244" t="s">
        <v>43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tr">
        <f>IF(Table1[[#This Row],[YearsAtCompany]]&lt;1,"0-1",IF(Table1[[#This Row],[YearsAtCompany]]&lt;=3,"1-3",IF(Table1[[#This Row],[YearsAtCompany]]&lt;=6,"4-6","7+")))</f>
        <v>1-3</v>
      </c>
      <c r="AH244">
        <f>Table1[[#This Row],[MonthlyIncome]]*12*0.75</f>
        <v>27648</v>
      </c>
      <c r="AI2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44">
        <f>IF(Table1[[#This Row],[Attrition]]="Yes",Table1[[#This Row],[EstReplacementCost]],0)</f>
        <v>0</v>
      </c>
    </row>
    <row r="245" spans="1:36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47</v>
      </c>
      <c r="P245">
        <v>4</v>
      </c>
      <c r="Q245" t="s">
        <v>52</v>
      </c>
      <c r="R245">
        <v>3319</v>
      </c>
      <c r="S245">
        <v>24447</v>
      </c>
      <c r="T245">
        <v>1</v>
      </c>
      <c r="U245" t="s">
        <v>43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tr">
        <f>IF(Table1[[#This Row],[YearsAtCompany]]&lt;1,"0-1",IF(Table1[[#This Row],[YearsAtCompany]]&lt;=3,"1-3",IF(Table1[[#This Row],[YearsAtCompany]]&lt;=6,"4-6","7+")))</f>
        <v>7+</v>
      </c>
      <c r="AH245">
        <f>Table1[[#This Row],[MonthlyIncome]]*12*0.75</f>
        <v>29871</v>
      </c>
      <c r="AI2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45">
        <f>IF(Table1[[#This Row],[Attrition]]="Yes",Table1[[#This Row],[EstReplacementCost]],0)</f>
        <v>0</v>
      </c>
    </row>
    <row r="246" spans="1:36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56</v>
      </c>
      <c r="P246">
        <v>4</v>
      </c>
      <c r="Q246" t="s">
        <v>48</v>
      </c>
      <c r="R246">
        <v>19202</v>
      </c>
      <c r="S246">
        <v>15970</v>
      </c>
      <c r="T246">
        <v>0</v>
      </c>
      <c r="U246" t="s">
        <v>43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tr">
        <f>IF(Table1[[#This Row],[YearsAtCompany]]&lt;1,"0-1",IF(Table1[[#This Row],[YearsAtCompany]]&lt;=3,"1-3",IF(Table1[[#This Row],[YearsAtCompany]]&lt;=6,"4-6","7+")))</f>
        <v>7+</v>
      </c>
      <c r="AH246">
        <f>Table1[[#This Row],[MonthlyIncome]]*12*0.75</f>
        <v>172818</v>
      </c>
      <c r="AI2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46">
        <f>IF(Table1[[#This Row],[Attrition]]="Yes",Table1[[#This Row],[EstReplacementCost]],0)</f>
        <v>0</v>
      </c>
    </row>
    <row r="247" spans="1:36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58</v>
      </c>
      <c r="P247">
        <v>3</v>
      </c>
      <c r="Q247" t="s">
        <v>52</v>
      </c>
      <c r="R247">
        <v>13675</v>
      </c>
      <c r="S247">
        <v>13523</v>
      </c>
      <c r="T247">
        <v>9</v>
      </c>
      <c r="U247" t="s">
        <v>43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tr">
        <f>IF(Table1[[#This Row],[YearsAtCompany]]&lt;1,"0-1",IF(Table1[[#This Row],[YearsAtCompany]]&lt;=3,"1-3",IF(Table1[[#This Row],[YearsAtCompany]]&lt;=6,"4-6","7+")))</f>
        <v>1-3</v>
      </c>
      <c r="AH247">
        <f>Table1[[#This Row],[MonthlyIncome]]*12*0.75</f>
        <v>123075</v>
      </c>
      <c r="AI2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47">
        <f>IF(Table1[[#This Row],[Attrition]]="Yes",Table1[[#This Row],[EstReplacementCost]],0)</f>
        <v>0</v>
      </c>
    </row>
    <row r="248" spans="1:36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47</v>
      </c>
      <c r="P248">
        <v>4</v>
      </c>
      <c r="Q248" t="s">
        <v>48</v>
      </c>
      <c r="R248">
        <v>2911</v>
      </c>
      <c r="S248">
        <v>14776</v>
      </c>
      <c r="T248">
        <v>1</v>
      </c>
      <c r="U248" t="s">
        <v>43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tr">
        <f>IF(Table1[[#This Row],[YearsAtCompany]]&lt;1,"0-1",IF(Table1[[#This Row],[YearsAtCompany]]&lt;=3,"1-3",IF(Table1[[#This Row],[YearsAtCompany]]&lt;=6,"4-6","7+")))</f>
        <v>1-3</v>
      </c>
      <c r="AH248">
        <f>Table1[[#This Row],[MonthlyIncome]]*12*0.75</f>
        <v>26199</v>
      </c>
      <c r="AI2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48">
        <f>IF(Table1[[#This Row],[Attrition]]="Yes",Table1[[#This Row],[EstReplacementCost]],0)</f>
        <v>0</v>
      </c>
    </row>
    <row r="249" spans="1:36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53</v>
      </c>
      <c r="P249">
        <v>1</v>
      </c>
      <c r="Q249" t="s">
        <v>48</v>
      </c>
      <c r="R249">
        <v>5957</v>
      </c>
      <c r="S249">
        <v>23687</v>
      </c>
      <c r="T249">
        <v>6</v>
      </c>
      <c r="U249" t="s">
        <v>43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tr">
        <f>IF(Table1[[#This Row],[YearsAtCompany]]&lt;1,"0-1",IF(Table1[[#This Row],[YearsAtCompany]]&lt;=3,"1-3",IF(Table1[[#This Row],[YearsAtCompany]]&lt;=6,"4-6","7+")))</f>
        <v>7+</v>
      </c>
      <c r="AH249">
        <f>Table1[[#This Row],[MonthlyIncome]]*12*0.75</f>
        <v>53613</v>
      </c>
      <c r="AI2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49">
        <f>IF(Table1[[#This Row],[Attrition]]="Yes",Table1[[#This Row],[EstReplacementCost]],0)</f>
        <v>0</v>
      </c>
    </row>
    <row r="250" spans="1:36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47</v>
      </c>
      <c r="P250">
        <v>1</v>
      </c>
      <c r="Q250" t="s">
        <v>48</v>
      </c>
      <c r="R250">
        <v>3920</v>
      </c>
      <c r="S250">
        <v>18697</v>
      </c>
      <c r="T250">
        <v>2</v>
      </c>
      <c r="U250" t="s">
        <v>43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tr">
        <f>IF(Table1[[#This Row],[YearsAtCompany]]&lt;1,"0-1",IF(Table1[[#This Row],[YearsAtCompany]]&lt;=3,"1-3",IF(Table1[[#This Row],[YearsAtCompany]]&lt;=6,"4-6","7+")))</f>
        <v>1-3</v>
      </c>
      <c r="AH250">
        <f>Table1[[#This Row],[MonthlyIncome]]*12*0.75</f>
        <v>35280</v>
      </c>
      <c r="AI2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50">
        <f>IF(Table1[[#This Row],[Attrition]]="Yes",Table1[[#This Row],[EstReplacementCost]],0)</f>
        <v>0</v>
      </c>
    </row>
    <row r="251" spans="1:36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53</v>
      </c>
      <c r="P251">
        <v>3</v>
      </c>
      <c r="Q251" t="s">
        <v>48</v>
      </c>
      <c r="R251">
        <v>6434</v>
      </c>
      <c r="S251">
        <v>5118</v>
      </c>
      <c r="T251">
        <v>4</v>
      </c>
      <c r="U251" t="s">
        <v>43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tr">
        <f>IF(Table1[[#This Row],[YearsAtCompany]]&lt;1,"0-1",IF(Table1[[#This Row],[YearsAtCompany]]&lt;=3,"1-3",IF(Table1[[#This Row],[YearsAtCompany]]&lt;=6,"4-6","7+")))</f>
        <v>1-3</v>
      </c>
      <c r="AH251">
        <f>Table1[[#This Row],[MonthlyIncome]]*12*0.75</f>
        <v>57906</v>
      </c>
      <c r="AI2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51">
        <f>IF(Table1[[#This Row],[Attrition]]="Yes",Table1[[#This Row],[EstReplacementCost]],0)</f>
        <v>0</v>
      </c>
    </row>
    <row r="252" spans="1:36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53</v>
      </c>
      <c r="P252">
        <v>3</v>
      </c>
      <c r="Q252" t="s">
        <v>52</v>
      </c>
      <c r="R252">
        <v>10048</v>
      </c>
      <c r="S252">
        <v>22573</v>
      </c>
      <c r="T252">
        <v>6</v>
      </c>
      <c r="U252" t="s">
        <v>43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tr">
        <f>IF(Table1[[#This Row],[YearsAtCompany]]&lt;1,"0-1",IF(Table1[[#This Row],[YearsAtCompany]]&lt;=3,"1-3",IF(Table1[[#This Row],[YearsAtCompany]]&lt;=6,"4-6","7+")))</f>
        <v>1-3</v>
      </c>
      <c r="AH252">
        <f>Table1[[#This Row],[MonthlyIncome]]*12*0.75</f>
        <v>90432</v>
      </c>
      <c r="AI2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52">
        <f>IF(Table1[[#This Row],[Attrition]]="Yes",Table1[[#This Row],[EstReplacementCost]],0)</f>
        <v>90432</v>
      </c>
    </row>
    <row r="253" spans="1:36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54</v>
      </c>
      <c r="P253">
        <v>3</v>
      </c>
      <c r="Q253" t="s">
        <v>41</v>
      </c>
      <c r="R253">
        <v>10938</v>
      </c>
      <c r="S253">
        <v>6420</v>
      </c>
      <c r="T253">
        <v>0</v>
      </c>
      <c r="U253" t="s">
        <v>43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tr">
        <f>IF(Table1[[#This Row],[YearsAtCompany]]&lt;1,"0-1",IF(Table1[[#This Row],[YearsAtCompany]]&lt;=3,"1-3",IF(Table1[[#This Row],[YearsAtCompany]]&lt;=6,"4-6","7+")))</f>
        <v>7+</v>
      </c>
      <c r="AH253">
        <f>Table1[[#This Row],[MonthlyIncome]]*12*0.75</f>
        <v>98442</v>
      </c>
      <c r="AI2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53">
        <f>IF(Table1[[#This Row],[Attrition]]="Yes",Table1[[#This Row],[EstReplacementCost]],0)</f>
        <v>0</v>
      </c>
    </row>
    <row r="254" spans="1:36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47</v>
      </c>
      <c r="P254">
        <v>4</v>
      </c>
      <c r="Q254" t="s">
        <v>41</v>
      </c>
      <c r="R254">
        <v>2340</v>
      </c>
      <c r="S254">
        <v>22673</v>
      </c>
      <c r="T254">
        <v>1</v>
      </c>
      <c r="U254" t="s">
        <v>43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tr">
        <f>IF(Table1[[#This Row],[YearsAtCompany]]&lt;1,"0-1",IF(Table1[[#This Row],[YearsAtCompany]]&lt;=3,"1-3",IF(Table1[[#This Row],[YearsAtCompany]]&lt;=6,"4-6","7+")))</f>
        <v>4-6</v>
      </c>
      <c r="AH254">
        <f>Table1[[#This Row],[MonthlyIncome]]*12*0.75</f>
        <v>21060</v>
      </c>
      <c r="AI2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54">
        <f>IF(Table1[[#This Row],[Attrition]]="Yes",Table1[[#This Row],[EstReplacementCost]],0)</f>
        <v>0</v>
      </c>
    </row>
    <row r="255" spans="1:36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47</v>
      </c>
      <c r="P255">
        <v>1</v>
      </c>
      <c r="Q255" t="s">
        <v>41</v>
      </c>
      <c r="R255">
        <v>6545</v>
      </c>
      <c r="S255">
        <v>23016</v>
      </c>
      <c r="T255">
        <v>3</v>
      </c>
      <c r="U255" t="s">
        <v>35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tr">
        <f>IF(Table1[[#This Row],[YearsAtCompany]]&lt;1,"0-1",IF(Table1[[#This Row],[YearsAtCompany]]&lt;=3,"1-3",IF(Table1[[#This Row],[YearsAtCompany]]&lt;=6,"4-6","7+")))</f>
        <v>1-3</v>
      </c>
      <c r="AH255">
        <f>Table1[[#This Row],[MonthlyIncome]]*12*0.75</f>
        <v>58905</v>
      </c>
      <c r="AI2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255">
        <f>IF(Table1[[#This Row],[Attrition]]="Yes",Table1[[#This Row],[EstReplacementCost]],0)</f>
        <v>0</v>
      </c>
    </row>
    <row r="256" spans="1:36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52</v>
      </c>
      <c r="R256">
        <v>6931</v>
      </c>
      <c r="S256">
        <v>10732</v>
      </c>
      <c r="T256">
        <v>2</v>
      </c>
      <c r="U256" t="s">
        <v>43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tr">
        <f>IF(Table1[[#This Row],[YearsAtCompany]]&lt;1,"0-1",IF(Table1[[#This Row],[YearsAtCompany]]&lt;=3,"1-3",IF(Table1[[#This Row],[YearsAtCompany]]&lt;=6,"4-6","7+")))</f>
        <v>1-3</v>
      </c>
      <c r="AH256">
        <f>Table1[[#This Row],[MonthlyIncome]]*12*0.75</f>
        <v>62379</v>
      </c>
      <c r="AI2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56">
        <f>IF(Table1[[#This Row],[Attrition]]="Yes",Table1[[#This Row],[EstReplacementCost]],0)</f>
        <v>0</v>
      </c>
    </row>
    <row r="257" spans="1:36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53</v>
      </c>
      <c r="P257">
        <v>3</v>
      </c>
      <c r="Q257" t="s">
        <v>48</v>
      </c>
      <c r="R257">
        <v>4898</v>
      </c>
      <c r="S257">
        <v>7505</v>
      </c>
      <c r="T257">
        <v>0</v>
      </c>
      <c r="U257" t="s">
        <v>43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tr">
        <f>IF(Table1[[#This Row],[YearsAtCompany]]&lt;1,"0-1",IF(Table1[[#This Row],[YearsAtCompany]]&lt;=3,"1-3",IF(Table1[[#This Row],[YearsAtCompany]]&lt;=6,"4-6","7+")))</f>
        <v>4-6</v>
      </c>
      <c r="AH257">
        <f>Table1[[#This Row],[MonthlyIncome]]*12*0.75</f>
        <v>44082</v>
      </c>
      <c r="AI2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57">
        <f>IF(Table1[[#This Row],[Attrition]]="Yes",Table1[[#This Row],[EstReplacementCost]],0)</f>
        <v>0</v>
      </c>
    </row>
    <row r="258" spans="1:36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50</v>
      </c>
      <c r="P258">
        <v>1</v>
      </c>
      <c r="Q258" t="s">
        <v>52</v>
      </c>
      <c r="R258">
        <v>2593</v>
      </c>
      <c r="S258">
        <v>8007</v>
      </c>
      <c r="T258">
        <v>0</v>
      </c>
      <c r="U258" t="s">
        <v>35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tr">
        <f>IF(Table1[[#This Row],[YearsAtCompany]]&lt;1,"0-1",IF(Table1[[#This Row],[YearsAtCompany]]&lt;=3,"1-3",IF(Table1[[#This Row],[YearsAtCompany]]&lt;=6,"4-6","7+")))</f>
        <v>7+</v>
      </c>
      <c r="AH258">
        <f>Table1[[#This Row],[MonthlyIncome]]*12*0.75</f>
        <v>23337</v>
      </c>
      <c r="AI2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58">
        <f>IF(Table1[[#This Row],[Attrition]]="Yes",Table1[[#This Row],[EstReplacementCost]],0)</f>
        <v>0</v>
      </c>
    </row>
    <row r="259" spans="1:36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58</v>
      </c>
      <c r="P259">
        <v>3</v>
      </c>
      <c r="Q259" t="s">
        <v>52</v>
      </c>
      <c r="R259">
        <v>19436</v>
      </c>
      <c r="S259">
        <v>5949</v>
      </c>
      <c r="T259">
        <v>0</v>
      </c>
      <c r="U259" t="s">
        <v>43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tr">
        <f>IF(Table1[[#This Row],[YearsAtCompany]]&lt;1,"0-1",IF(Table1[[#This Row],[YearsAtCompany]]&lt;=3,"1-3",IF(Table1[[#This Row],[YearsAtCompany]]&lt;=6,"4-6","7+")))</f>
        <v>7+</v>
      </c>
      <c r="AH259">
        <f>Table1[[#This Row],[MonthlyIncome]]*12*0.75</f>
        <v>174924</v>
      </c>
      <c r="AI2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59">
        <f>IF(Table1[[#This Row],[Attrition]]="Yes",Table1[[#This Row],[EstReplacementCost]],0)</f>
        <v>0</v>
      </c>
    </row>
    <row r="260" spans="1:36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47</v>
      </c>
      <c r="P260">
        <v>4</v>
      </c>
      <c r="Q260" t="s">
        <v>48</v>
      </c>
      <c r="R260">
        <v>2723</v>
      </c>
      <c r="S260">
        <v>23231</v>
      </c>
      <c r="T260">
        <v>1</v>
      </c>
      <c r="U260" t="s">
        <v>43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tr">
        <f>IF(Table1[[#This Row],[YearsAtCompany]]&lt;1,"0-1",IF(Table1[[#This Row],[YearsAtCompany]]&lt;=3,"1-3",IF(Table1[[#This Row],[YearsAtCompany]]&lt;=6,"4-6","7+")))</f>
        <v>1-3</v>
      </c>
      <c r="AH260">
        <f>Table1[[#This Row],[MonthlyIncome]]*12*0.75</f>
        <v>24507</v>
      </c>
      <c r="AI2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60">
        <f>IF(Table1[[#This Row],[Attrition]]="Yes",Table1[[#This Row],[EstReplacementCost]],0)</f>
        <v>0</v>
      </c>
    </row>
    <row r="261" spans="1:36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50</v>
      </c>
      <c r="P261">
        <v>2</v>
      </c>
      <c r="Q261" t="s">
        <v>41</v>
      </c>
      <c r="R261">
        <v>3479</v>
      </c>
      <c r="S261">
        <v>11652</v>
      </c>
      <c r="T261">
        <v>0</v>
      </c>
      <c r="U261" t="s">
        <v>43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tr">
        <f>IF(Table1[[#This Row],[YearsAtCompany]]&lt;1,"0-1",IF(Table1[[#This Row],[YearsAtCompany]]&lt;=3,"1-3",IF(Table1[[#This Row],[YearsAtCompany]]&lt;=6,"4-6","7+")))</f>
        <v>4-6</v>
      </c>
      <c r="AH261">
        <f>Table1[[#This Row],[MonthlyIncome]]*12*0.75</f>
        <v>31311</v>
      </c>
      <c r="AI2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61">
        <f>IF(Table1[[#This Row],[Attrition]]="Yes",Table1[[#This Row],[EstReplacementCost]],0)</f>
        <v>31311</v>
      </c>
    </row>
    <row r="262" spans="1:36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50</v>
      </c>
      <c r="P262">
        <v>2</v>
      </c>
      <c r="Q262" t="s">
        <v>48</v>
      </c>
      <c r="R262">
        <v>2794</v>
      </c>
      <c r="S262">
        <v>26062</v>
      </c>
      <c r="T262">
        <v>1</v>
      </c>
      <c r="U262" t="s">
        <v>43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tr">
        <f>IF(Table1[[#This Row],[YearsAtCompany]]&lt;1,"0-1",IF(Table1[[#This Row],[YearsAtCompany]]&lt;=3,"1-3",IF(Table1[[#This Row],[YearsAtCompany]]&lt;=6,"4-6","7+")))</f>
        <v>4-6</v>
      </c>
      <c r="AH262">
        <f>Table1[[#This Row],[MonthlyIncome]]*12*0.75</f>
        <v>25146</v>
      </c>
      <c r="AI2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62">
        <f>IF(Table1[[#This Row],[Attrition]]="Yes",Table1[[#This Row],[EstReplacementCost]],0)</f>
        <v>0</v>
      </c>
    </row>
    <row r="263" spans="1:36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48</v>
      </c>
      <c r="R263">
        <v>5249</v>
      </c>
      <c r="S263">
        <v>19682</v>
      </c>
      <c r="T263">
        <v>3</v>
      </c>
      <c r="U263" t="s">
        <v>43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tr">
        <f>IF(Table1[[#This Row],[YearsAtCompany]]&lt;1,"0-1",IF(Table1[[#This Row],[YearsAtCompany]]&lt;=3,"1-3",IF(Table1[[#This Row],[YearsAtCompany]]&lt;=6,"4-6","7+")))</f>
        <v>7+</v>
      </c>
      <c r="AH263">
        <f>Table1[[#This Row],[MonthlyIncome]]*12*0.75</f>
        <v>47241</v>
      </c>
      <c r="AI2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63">
        <f>IF(Table1[[#This Row],[Attrition]]="Yes",Table1[[#This Row],[EstReplacementCost]],0)</f>
        <v>0</v>
      </c>
    </row>
    <row r="264" spans="1:36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50</v>
      </c>
      <c r="P264">
        <v>1</v>
      </c>
      <c r="Q264" t="s">
        <v>41</v>
      </c>
      <c r="R264">
        <v>2176</v>
      </c>
      <c r="S264">
        <v>19737</v>
      </c>
      <c r="T264">
        <v>4</v>
      </c>
      <c r="U264" t="s">
        <v>43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tr">
        <f>IF(Table1[[#This Row],[YearsAtCompany]]&lt;1,"0-1",IF(Table1[[#This Row],[YearsAtCompany]]&lt;=3,"1-3",IF(Table1[[#This Row],[YearsAtCompany]]&lt;=6,"4-6","7+")))</f>
        <v>4-6</v>
      </c>
      <c r="AH264">
        <f>Table1[[#This Row],[MonthlyIncome]]*12*0.75</f>
        <v>19584</v>
      </c>
      <c r="AI2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64">
        <f>IF(Table1[[#This Row],[Attrition]]="Yes",Table1[[#This Row],[EstReplacementCost]],0)</f>
        <v>0</v>
      </c>
    </row>
    <row r="265" spans="1:36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56</v>
      </c>
      <c r="P265">
        <v>2</v>
      </c>
      <c r="Q265" t="s">
        <v>48</v>
      </c>
      <c r="R265">
        <v>16872</v>
      </c>
      <c r="S265">
        <v>14977</v>
      </c>
      <c r="T265">
        <v>3</v>
      </c>
      <c r="U265" t="s">
        <v>35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tr">
        <f>IF(Table1[[#This Row],[YearsAtCompany]]&lt;1,"0-1",IF(Table1[[#This Row],[YearsAtCompany]]&lt;=3,"1-3",IF(Table1[[#This Row],[YearsAtCompany]]&lt;=6,"4-6","7+")))</f>
        <v>7+</v>
      </c>
      <c r="AH265">
        <f>Table1[[#This Row],[MonthlyIncome]]*12*0.75</f>
        <v>151848</v>
      </c>
      <c r="AI2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65">
        <f>IF(Table1[[#This Row],[Attrition]]="Yes",Table1[[#This Row],[EstReplacementCost]],0)</f>
        <v>0</v>
      </c>
    </row>
    <row r="266" spans="1:36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50</v>
      </c>
      <c r="P266">
        <v>3</v>
      </c>
      <c r="Q266" t="s">
        <v>41</v>
      </c>
      <c r="R266">
        <v>3485</v>
      </c>
      <c r="S266">
        <v>14935</v>
      </c>
      <c r="T266">
        <v>2</v>
      </c>
      <c r="U266" t="s">
        <v>43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tr">
        <f>IF(Table1[[#This Row],[YearsAtCompany]]&lt;1,"0-1",IF(Table1[[#This Row],[YearsAtCompany]]&lt;=3,"1-3",IF(Table1[[#This Row],[YearsAtCompany]]&lt;=6,"4-6","7+")))</f>
        <v>0-1</v>
      </c>
      <c r="AH266">
        <f>Table1[[#This Row],[MonthlyIncome]]*12*0.75</f>
        <v>31365</v>
      </c>
      <c r="AI2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66">
        <f>IF(Table1[[#This Row],[Attrition]]="Yes",Table1[[#This Row],[EstReplacementCost]],0)</f>
        <v>31365</v>
      </c>
    </row>
    <row r="267" spans="1:36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48</v>
      </c>
      <c r="R267">
        <v>6644</v>
      </c>
      <c r="S267">
        <v>3687</v>
      </c>
      <c r="T267">
        <v>2</v>
      </c>
      <c r="U267" t="s">
        <v>43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tr">
        <f>IF(Table1[[#This Row],[YearsAtCompany]]&lt;1,"0-1",IF(Table1[[#This Row],[YearsAtCompany]]&lt;=3,"1-3",IF(Table1[[#This Row],[YearsAtCompany]]&lt;=6,"4-6","7+")))</f>
        <v>0-1</v>
      </c>
      <c r="AH267">
        <f>Table1[[#This Row],[MonthlyIncome]]*12*0.75</f>
        <v>59796</v>
      </c>
      <c r="AI2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67">
        <f>IF(Table1[[#This Row],[Attrition]]="Yes",Table1[[#This Row],[EstReplacementCost]],0)</f>
        <v>0</v>
      </c>
    </row>
    <row r="268" spans="1:36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54</v>
      </c>
      <c r="P268">
        <v>4</v>
      </c>
      <c r="Q268" t="s">
        <v>48</v>
      </c>
      <c r="R268">
        <v>5582</v>
      </c>
      <c r="S268">
        <v>14408</v>
      </c>
      <c r="T268">
        <v>0</v>
      </c>
      <c r="U268" t="s">
        <v>43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tr">
        <f>IF(Table1[[#This Row],[YearsAtCompany]]&lt;1,"0-1",IF(Table1[[#This Row],[YearsAtCompany]]&lt;=3,"1-3",IF(Table1[[#This Row],[YearsAtCompany]]&lt;=6,"4-6","7+")))</f>
        <v>7+</v>
      </c>
      <c r="AH268">
        <f>Table1[[#This Row],[MonthlyIncome]]*12*0.75</f>
        <v>50238</v>
      </c>
      <c r="AI2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68">
        <f>IF(Table1[[#This Row],[Attrition]]="Yes",Table1[[#This Row],[EstReplacementCost]],0)</f>
        <v>0</v>
      </c>
    </row>
    <row r="269" spans="1:36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54</v>
      </c>
      <c r="P269">
        <v>1</v>
      </c>
      <c r="Q269" t="s">
        <v>52</v>
      </c>
      <c r="R269">
        <v>4000</v>
      </c>
      <c r="S269">
        <v>18384</v>
      </c>
      <c r="T269">
        <v>1</v>
      </c>
      <c r="U269" t="s">
        <v>43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tr">
        <f>IF(Table1[[#This Row],[YearsAtCompany]]&lt;1,"0-1",IF(Table1[[#This Row],[YearsAtCompany]]&lt;=3,"1-3",IF(Table1[[#This Row],[YearsAtCompany]]&lt;=6,"4-6","7+")))</f>
        <v>4-6</v>
      </c>
      <c r="AH269">
        <f>Table1[[#This Row],[MonthlyIncome]]*12*0.75</f>
        <v>36000</v>
      </c>
      <c r="AI2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69">
        <f>IF(Table1[[#This Row],[Attrition]]="Yes",Table1[[#This Row],[EstReplacementCost]],0)</f>
        <v>0</v>
      </c>
    </row>
    <row r="270" spans="1:36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54</v>
      </c>
      <c r="P270">
        <v>4</v>
      </c>
      <c r="Q270" t="s">
        <v>48</v>
      </c>
      <c r="R270">
        <v>13496</v>
      </c>
      <c r="S270">
        <v>7501</v>
      </c>
      <c r="T270">
        <v>0</v>
      </c>
      <c r="U270" t="s">
        <v>35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tr">
        <f>IF(Table1[[#This Row],[YearsAtCompany]]&lt;1,"0-1",IF(Table1[[#This Row],[YearsAtCompany]]&lt;=3,"1-3",IF(Table1[[#This Row],[YearsAtCompany]]&lt;=6,"4-6","7+")))</f>
        <v>7+</v>
      </c>
      <c r="AH270">
        <f>Table1[[#This Row],[MonthlyIncome]]*12*0.75</f>
        <v>121464</v>
      </c>
      <c r="AI2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70">
        <f>IF(Table1[[#This Row],[Attrition]]="Yes",Table1[[#This Row],[EstReplacementCost]],0)</f>
        <v>0</v>
      </c>
    </row>
    <row r="271" spans="1:36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50</v>
      </c>
      <c r="P271">
        <v>4</v>
      </c>
      <c r="Q271" t="s">
        <v>48</v>
      </c>
      <c r="R271">
        <v>3210</v>
      </c>
      <c r="S271">
        <v>20251</v>
      </c>
      <c r="T271">
        <v>0</v>
      </c>
      <c r="U271" t="s">
        <v>43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tr">
        <f>IF(Table1[[#This Row],[YearsAtCompany]]&lt;1,"0-1",IF(Table1[[#This Row],[YearsAtCompany]]&lt;=3,"1-3",IF(Table1[[#This Row],[YearsAtCompany]]&lt;=6,"4-6","7+")))</f>
        <v>7+</v>
      </c>
      <c r="AH271">
        <f>Table1[[#This Row],[MonthlyIncome]]*12*0.75</f>
        <v>28890</v>
      </c>
      <c r="AI2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71">
        <f>IF(Table1[[#This Row],[Attrition]]="Yes",Table1[[#This Row],[EstReplacementCost]],0)</f>
        <v>0</v>
      </c>
    </row>
    <row r="272" spans="1:36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56</v>
      </c>
      <c r="P272">
        <v>1</v>
      </c>
      <c r="Q272" t="s">
        <v>41</v>
      </c>
      <c r="R272">
        <v>19045</v>
      </c>
      <c r="S272">
        <v>18938</v>
      </c>
      <c r="T272">
        <v>0</v>
      </c>
      <c r="U272" t="s">
        <v>35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tr">
        <f>IF(Table1[[#This Row],[YearsAtCompany]]&lt;1,"0-1",IF(Table1[[#This Row],[YearsAtCompany]]&lt;=3,"1-3",IF(Table1[[#This Row],[YearsAtCompany]]&lt;=6,"4-6","7+")))</f>
        <v>7+</v>
      </c>
      <c r="AH272">
        <f>Table1[[#This Row],[MonthlyIncome]]*12*0.75</f>
        <v>171405</v>
      </c>
      <c r="AI2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72">
        <f>IF(Table1[[#This Row],[Attrition]]="Yes",Table1[[#This Row],[EstReplacementCost]],0)</f>
        <v>0</v>
      </c>
    </row>
    <row r="273" spans="1:36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56</v>
      </c>
      <c r="P273">
        <v>2</v>
      </c>
      <c r="Q273" t="s">
        <v>48</v>
      </c>
      <c r="R273">
        <v>11849</v>
      </c>
      <c r="S273">
        <v>10268</v>
      </c>
      <c r="T273">
        <v>1</v>
      </c>
      <c r="U273" t="s">
        <v>35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tr">
        <f>IF(Table1[[#This Row],[YearsAtCompany]]&lt;1,"0-1",IF(Table1[[#This Row],[YearsAtCompany]]&lt;=3,"1-3",IF(Table1[[#This Row],[YearsAtCompany]]&lt;=6,"4-6","7+")))</f>
        <v>7+</v>
      </c>
      <c r="AH273">
        <f>Table1[[#This Row],[MonthlyIncome]]*12*0.75</f>
        <v>106641</v>
      </c>
      <c r="AI2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73">
        <f>IF(Table1[[#This Row],[Attrition]]="Yes",Table1[[#This Row],[EstReplacementCost]],0)</f>
        <v>106641</v>
      </c>
    </row>
    <row r="274" spans="1:36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47</v>
      </c>
      <c r="P274">
        <v>4</v>
      </c>
      <c r="Q274" t="s">
        <v>48</v>
      </c>
      <c r="R274">
        <v>2070</v>
      </c>
      <c r="S274">
        <v>2613</v>
      </c>
      <c r="T274">
        <v>1</v>
      </c>
      <c r="U274" t="s">
        <v>43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tr">
        <f>IF(Table1[[#This Row],[YearsAtCompany]]&lt;1,"0-1",IF(Table1[[#This Row],[YearsAtCompany]]&lt;=3,"1-3",IF(Table1[[#This Row],[YearsAtCompany]]&lt;=6,"4-6","7+")))</f>
        <v>4-6</v>
      </c>
      <c r="AH274">
        <f>Table1[[#This Row],[MonthlyIncome]]*12*0.75</f>
        <v>18630</v>
      </c>
      <c r="AI2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74">
        <f>IF(Table1[[#This Row],[Attrition]]="Yes",Table1[[#This Row],[EstReplacementCost]],0)</f>
        <v>0</v>
      </c>
    </row>
    <row r="275" spans="1:36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48</v>
      </c>
      <c r="R275">
        <v>6502</v>
      </c>
      <c r="S275">
        <v>22825</v>
      </c>
      <c r="T275">
        <v>4</v>
      </c>
      <c r="U275" t="s">
        <v>43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tr">
        <f>IF(Table1[[#This Row],[YearsAtCompany]]&lt;1,"0-1",IF(Table1[[#This Row],[YearsAtCompany]]&lt;=3,"1-3",IF(Table1[[#This Row],[YearsAtCompany]]&lt;=6,"4-6","7+")))</f>
        <v>4-6</v>
      </c>
      <c r="AH275">
        <f>Table1[[#This Row],[MonthlyIncome]]*12*0.75</f>
        <v>58518</v>
      </c>
      <c r="AI2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75">
        <f>IF(Table1[[#This Row],[Attrition]]="Yes",Table1[[#This Row],[EstReplacementCost]],0)</f>
        <v>0</v>
      </c>
    </row>
    <row r="276" spans="1:36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47</v>
      </c>
      <c r="P276">
        <v>3</v>
      </c>
      <c r="Q276" t="s">
        <v>41</v>
      </c>
      <c r="R276">
        <v>3230</v>
      </c>
      <c r="S276">
        <v>10531</v>
      </c>
      <c r="T276">
        <v>1</v>
      </c>
      <c r="U276" t="s">
        <v>43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tr">
        <f>IF(Table1[[#This Row],[YearsAtCompany]]&lt;1,"0-1",IF(Table1[[#This Row],[YearsAtCompany]]&lt;=3,"1-3",IF(Table1[[#This Row],[YearsAtCompany]]&lt;=6,"4-6","7+")))</f>
        <v>1-3</v>
      </c>
      <c r="AH276">
        <f>Table1[[#This Row],[MonthlyIncome]]*12*0.75</f>
        <v>29070</v>
      </c>
      <c r="AI2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76">
        <f>IF(Table1[[#This Row],[Attrition]]="Yes",Table1[[#This Row],[EstReplacementCost]],0)</f>
        <v>0</v>
      </c>
    </row>
    <row r="277" spans="1:36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58</v>
      </c>
      <c r="P277">
        <v>4</v>
      </c>
      <c r="Q277" t="s">
        <v>52</v>
      </c>
      <c r="R277">
        <v>13603</v>
      </c>
      <c r="S277">
        <v>11677</v>
      </c>
      <c r="T277">
        <v>2</v>
      </c>
      <c r="U277" t="s">
        <v>35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tr">
        <f>IF(Table1[[#This Row],[YearsAtCompany]]&lt;1,"0-1",IF(Table1[[#This Row],[YearsAtCompany]]&lt;=3,"1-3",IF(Table1[[#This Row],[YearsAtCompany]]&lt;=6,"4-6","7+")))</f>
        <v>4-6</v>
      </c>
      <c r="AH277">
        <f>Table1[[#This Row],[MonthlyIncome]]*12*0.75</f>
        <v>122427</v>
      </c>
      <c r="AI2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77">
        <f>IF(Table1[[#This Row],[Attrition]]="Yes",Table1[[#This Row],[EstReplacementCost]],0)</f>
        <v>0</v>
      </c>
    </row>
    <row r="278" spans="1:36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56</v>
      </c>
      <c r="P278">
        <v>2</v>
      </c>
      <c r="Q278" t="s">
        <v>52</v>
      </c>
      <c r="R278">
        <v>11996</v>
      </c>
      <c r="S278">
        <v>19100</v>
      </c>
      <c r="T278">
        <v>7</v>
      </c>
      <c r="U278" t="s">
        <v>43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tr">
        <f>IF(Table1[[#This Row],[YearsAtCompany]]&lt;1,"0-1",IF(Table1[[#This Row],[YearsAtCompany]]&lt;=3,"1-3",IF(Table1[[#This Row],[YearsAtCompany]]&lt;=6,"4-6","7+")))</f>
        <v>7+</v>
      </c>
      <c r="AH278">
        <f>Table1[[#This Row],[MonthlyIncome]]*12*0.75</f>
        <v>107964</v>
      </c>
      <c r="AI2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78">
        <f>IF(Table1[[#This Row],[Attrition]]="Yes",Table1[[#This Row],[EstReplacementCost]],0)</f>
        <v>0</v>
      </c>
    </row>
    <row r="279" spans="1:36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52</v>
      </c>
      <c r="R279">
        <v>5605</v>
      </c>
      <c r="S279">
        <v>19191</v>
      </c>
      <c r="T279">
        <v>1</v>
      </c>
      <c r="U279" t="s">
        <v>35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tr">
        <f>IF(Table1[[#This Row],[YearsAtCompany]]&lt;1,"0-1",IF(Table1[[#This Row],[YearsAtCompany]]&lt;=3,"1-3",IF(Table1[[#This Row],[YearsAtCompany]]&lt;=6,"4-6","7+")))</f>
        <v>7+</v>
      </c>
      <c r="AH279">
        <f>Table1[[#This Row],[MonthlyIncome]]*12*0.75</f>
        <v>50445</v>
      </c>
      <c r="AI2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79">
        <f>IF(Table1[[#This Row],[Attrition]]="Yes",Table1[[#This Row],[EstReplacementCost]],0)</f>
        <v>0</v>
      </c>
    </row>
    <row r="280" spans="1:36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53</v>
      </c>
      <c r="P280">
        <v>2</v>
      </c>
      <c r="Q280" t="s">
        <v>52</v>
      </c>
      <c r="R280">
        <v>6397</v>
      </c>
      <c r="S280">
        <v>26767</v>
      </c>
      <c r="T280">
        <v>1</v>
      </c>
      <c r="U280" t="s">
        <v>43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tr">
        <f>IF(Table1[[#This Row],[YearsAtCompany]]&lt;1,"0-1",IF(Table1[[#This Row],[YearsAtCompany]]&lt;=3,"1-3",IF(Table1[[#This Row],[YearsAtCompany]]&lt;=6,"4-6","7+")))</f>
        <v>4-6</v>
      </c>
      <c r="AH280">
        <f>Table1[[#This Row],[MonthlyIncome]]*12*0.75</f>
        <v>57573</v>
      </c>
      <c r="AI2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80">
        <f>IF(Table1[[#This Row],[Attrition]]="Yes",Table1[[#This Row],[EstReplacementCost]],0)</f>
        <v>0</v>
      </c>
    </row>
    <row r="281" spans="1:36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58</v>
      </c>
      <c r="P281">
        <v>2</v>
      </c>
      <c r="Q281" t="s">
        <v>52</v>
      </c>
      <c r="R281">
        <v>19144</v>
      </c>
      <c r="S281">
        <v>15815</v>
      </c>
      <c r="T281">
        <v>3</v>
      </c>
      <c r="U281" t="s">
        <v>43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tr">
        <f>IF(Table1[[#This Row],[YearsAtCompany]]&lt;1,"0-1",IF(Table1[[#This Row],[YearsAtCompany]]&lt;=3,"1-3",IF(Table1[[#This Row],[YearsAtCompany]]&lt;=6,"4-6","7+")))</f>
        <v>7+</v>
      </c>
      <c r="AH281">
        <f>Table1[[#This Row],[MonthlyIncome]]*12*0.75</f>
        <v>172296</v>
      </c>
      <c r="AI2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81">
        <f>IF(Table1[[#This Row],[Attrition]]="Yes",Table1[[#This Row],[EstReplacementCost]],0)</f>
        <v>0</v>
      </c>
    </row>
    <row r="282" spans="1:36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58</v>
      </c>
      <c r="P282">
        <v>3</v>
      </c>
      <c r="Q282" t="s">
        <v>48</v>
      </c>
      <c r="R282">
        <v>17584</v>
      </c>
      <c r="S282">
        <v>21016</v>
      </c>
      <c r="T282">
        <v>3</v>
      </c>
      <c r="U282" t="s">
        <v>35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tr">
        <f>IF(Table1[[#This Row],[YearsAtCompany]]&lt;1,"0-1",IF(Table1[[#This Row],[YearsAtCompany]]&lt;=3,"1-3",IF(Table1[[#This Row],[YearsAtCompany]]&lt;=6,"4-6","7+")))</f>
        <v>4-6</v>
      </c>
      <c r="AH282">
        <f>Table1[[#This Row],[MonthlyIncome]]*12*0.75</f>
        <v>158256</v>
      </c>
      <c r="AI2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82">
        <f>IF(Table1[[#This Row],[Attrition]]="Yes",Table1[[#This Row],[EstReplacementCost]],0)</f>
        <v>0</v>
      </c>
    </row>
    <row r="283" spans="1:36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48</v>
      </c>
      <c r="R283">
        <v>4907</v>
      </c>
      <c r="S283">
        <v>24532</v>
      </c>
      <c r="T283">
        <v>1</v>
      </c>
      <c r="U283" t="s">
        <v>43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tr">
        <f>IF(Table1[[#This Row],[YearsAtCompany]]&lt;1,"0-1",IF(Table1[[#This Row],[YearsAtCompany]]&lt;=3,"1-3",IF(Table1[[#This Row],[YearsAtCompany]]&lt;=6,"4-6","7+")))</f>
        <v>7+</v>
      </c>
      <c r="AH283">
        <f>Table1[[#This Row],[MonthlyIncome]]*12*0.75</f>
        <v>44163</v>
      </c>
      <c r="AI2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83">
        <f>IF(Table1[[#This Row],[Attrition]]="Yes",Table1[[#This Row],[EstReplacementCost]],0)</f>
        <v>0</v>
      </c>
    </row>
    <row r="284" spans="1:36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>
        <v>4554</v>
      </c>
      <c r="S284">
        <v>20260</v>
      </c>
      <c r="T284">
        <v>1</v>
      </c>
      <c r="U284" t="s">
        <v>43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tr">
        <f>IF(Table1[[#This Row],[YearsAtCompany]]&lt;1,"0-1",IF(Table1[[#This Row],[YearsAtCompany]]&lt;=3,"1-3",IF(Table1[[#This Row],[YearsAtCompany]]&lt;=6,"4-6","7+")))</f>
        <v>7+</v>
      </c>
      <c r="AH284">
        <f>Table1[[#This Row],[MonthlyIncome]]*12*0.75</f>
        <v>40986</v>
      </c>
      <c r="AI2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84">
        <f>IF(Table1[[#This Row],[Attrition]]="Yes",Table1[[#This Row],[EstReplacementCost]],0)</f>
        <v>0</v>
      </c>
    </row>
    <row r="285" spans="1:36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50</v>
      </c>
      <c r="P285">
        <v>4</v>
      </c>
      <c r="Q285" t="s">
        <v>48</v>
      </c>
      <c r="R285">
        <v>5415</v>
      </c>
      <c r="S285">
        <v>15972</v>
      </c>
      <c r="T285">
        <v>3</v>
      </c>
      <c r="U285" t="s">
        <v>35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tr">
        <f>IF(Table1[[#This Row],[YearsAtCompany]]&lt;1,"0-1",IF(Table1[[#This Row],[YearsAtCompany]]&lt;=3,"1-3",IF(Table1[[#This Row],[YearsAtCompany]]&lt;=6,"4-6","7+")))</f>
        <v>7+</v>
      </c>
      <c r="AH285">
        <f>Table1[[#This Row],[MonthlyIncome]]*12*0.75</f>
        <v>48735</v>
      </c>
      <c r="AI2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85">
        <f>IF(Table1[[#This Row],[Attrition]]="Yes",Table1[[#This Row],[EstReplacementCost]],0)</f>
        <v>0</v>
      </c>
    </row>
    <row r="286" spans="1:36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54</v>
      </c>
      <c r="P286">
        <v>1</v>
      </c>
      <c r="Q286" t="s">
        <v>48</v>
      </c>
      <c r="R286">
        <v>4741</v>
      </c>
      <c r="S286">
        <v>22722</v>
      </c>
      <c r="T286">
        <v>1</v>
      </c>
      <c r="U286" t="s">
        <v>35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tr">
        <f>IF(Table1[[#This Row],[YearsAtCompany]]&lt;1,"0-1",IF(Table1[[#This Row],[YearsAtCompany]]&lt;=3,"1-3",IF(Table1[[#This Row],[YearsAtCompany]]&lt;=6,"4-6","7+")))</f>
        <v>4-6</v>
      </c>
      <c r="AH286">
        <f>Table1[[#This Row],[MonthlyIncome]]*12*0.75</f>
        <v>42669</v>
      </c>
      <c r="AI2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86">
        <f>IF(Table1[[#This Row],[Attrition]]="Yes",Table1[[#This Row],[EstReplacementCost]],0)</f>
        <v>0</v>
      </c>
    </row>
    <row r="287" spans="1:36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47</v>
      </c>
      <c r="P287">
        <v>4</v>
      </c>
      <c r="Q287" t="s">
        <v>41</v>
      </c>
      <c r="R287">
        <v>2115</v>
      </c>
      <c r="S287">
        <v>15881</v>
      </c>
      <c r="T287">
        <v>1</v>
      </c>
      <c r="U287" t="s">
        <v>43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tr">
        <f>IF(Table1[[#This Row],[YearsAtCompany]]&lt;1,"0-1",IF(Table1[[#This Row],[YearsAtCompany]]&lt;=3,"1-3",IF(Table1[[#This Row],[YearsAtCompany]]&lt;=6,"4-6","7+")))</f>
        <v>7+</v>
      </c>
      <c r="AH287">
        <f>Table1[[#This Row],[MonthlyIncome]]*12*0.75</f>
        <v>19035</v>
      </c>
      <c r="AI2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87">
        <f>IF(Table1[[#This Row],[Attrition]]="Yes",Table1[[#This Row],[EstReplacementCost]],0)</f>
        <v>0</v>
      </c>
    </row>
    <row r="288" spans="1:36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50</v>
      </c>
      <c r="P288">
        <v>3</v>
      </c>
      <c r="Q288" t="s">
        <v>52</v>
      </c>
      <c r="R288">
        <v>3161</v>
      </c>
      <c r="S288">
        <v>19920</v>
      </c>
      <c r="T288">
        <v>3</v>
      </c>
      <c r="U288" t="s">
        <v>35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tr">
        <f>IF(Table1[[#This Row],[YearsAtCompany]]&lt;1,"0-1",IF(Table1[[#This Row],[YearsAtCompany]]&lt;=3,"1-3",IF(Table1[[#This Row],[YearsAtCompany]]&lt;=6,"4-6","7+")))</f>
        <v>1-3</v>
      </c>
      <c r="AH288">
        <f>Table1[[#This Row],[MonthlyIncome]]*12*0.75</f>
        <v>28449</v>
      </c>
      <c r="AI2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88">
        <f>IF(Table1[[#This Row],[Attrition]]="Yes",Table1[[#This Row],[EstReplacementCost]],0)</f>
        <v>28449</v>
      </c>
    </row>
    <row r="289" spans="1:36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54</v>
      </c>
      <c r="P289">
        <v>4</v>
      </c>
      <c r="Q289" t="s">
        <v>52</v>
      </c>
      <c r="R289">
        <v>5745</v>
      </c>
      <c r="S289">
        <v>18899</v>
      </c>
      <c r="T289">
        <v>9</v>
      </c>
      <c r="U289" t="s">
        <v>43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tr">
        <f>IF(Table1[[#This Row],[YearsAtCompany]]&lt;1,"0-1",IF(Table1[[#This Row],[YearsAtCompany]]&lt;=3,"1-3",IF(Table1[[#This Row],[YearsAtCompany]]&lt;=6,"4-6","7+")))</f>
        <v>1-3</v>
      </c>
      <c r="AH289">
        <f>Table1[[#This Row],[MonthlyIncome]]*12*0.75</f>
        <v>51705</v>
      </c>
      <c r="AI2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89">
        <f>IF(Table1[[#This Row],[Attrition]]="Yes",Table1[[#This Row],[EstReplacementCost]],0)</f>
        <v>0</v>
      </c>
    </row>
    <row r="290" spans="1:36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50</v>
      </c>
      <c r="P290">
        <v>2</v>
      </c>
      <c r="Q290" t="s">
        <v>52</v>
      </c>
      <c r="R290">
        <v>2373</v>
      </c>
      <c r="S290">
        <v>14180</v>
      </c>
      <c r="T290">
        <v>2</v>
      </c>
      <c r="U290" t="s">
        <v>35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tr">
        <f>IF(Table1[[#This Row],[YearsAtCompany]]&lt;1,"0-1",IF(Table1[[#This Row],[YearsAtCompany]]&lt;=3,"1-3",IF(Table1[[#This Row],[YearsAtCompany]]&lt;=6,"4-6","7+")))</f>
        <v>1-3</v>
      </c>
      <c r="AH290">
        <f>Table1[[#This Row],[MonthlyIncome]]*12*0.75</f>
        <v>21357</v>
      </c>
      <c r="AI2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290">
        <f>IF(Table1[[#This Row],[Attrition]]="Yes",Table1[[#This Row],[EstReplacementCost]],0)</f>
        <v>21357</v>
      </c>
    </row>
    <row r="291" spans="1:36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47</v>
      </c>
      <c r="P291">
        <v>4</v>
      </c>
      <c r="Q291" t="s">
        <v>41</v>
      </c>
      <c r="R291">
        <v>3310</v>
      </c>
      <c r="S291">
        <v>4488</v>
      </c>
      <c r="T291">
        <v>1</v>
      </c>
      <c r="U291" t="s">
        <v>43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tr">
        <f>IF(Table1[[#This Row],[YearsAtCompany]]&lt;1,"0-1",IF(Table1[[#This Row],[YearsAtCompany]]&lt;=3,"1-3",IF(Table1[[#This Row],[YearsAtCompany]]&lt;=6,"4-6","7+")))</f>
        <v>4-6</v>
      </c>
      <c r="AH291">
        <f>Table1[[#This Row],[MonthlyIncome]]*12*0.75</f>
        <v>29790</v>
      </c>
      <c r="AI2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91">
        <f>IF(Table1[[#This Row],[Attrition]]="Yes",Table1[[#This Row],[EstReplacementCost]],0)</f>
        <v>0</v>
      </c>
    </row>
    <row r="292" spans="1:36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58</v>
      </c>
      <c r="P292">
        <v>1</v>
      </c>
      <c r="Q292" t="s">
        <v>41</v>
      </c>
      <c r="R292">
        <v>18665</v>
      </c>
      <c r="S292">
        <v>25594</v>
      </c>
      <c r="T292">
        <v>9</v>
      </c>
      <c r="U292" t="s">
        <v>35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tr">
        <f>IF(Table1[[#This Row],[YearsAtCompany]]&lt;1,"0-1",IF(Table1[[#This Row],[YearsAtCompany]]&lt;=3,"1-3",IF(Table1[[#This Row],[YearsAtCompany]]&lt;=6,"4-6","7+")))</f>
        <v>1-3</v>
      </c>
      <c r="AH292">
        <f>Table1[[#This Row],[MonthlyIncome]]*12*0.75</f>
        <v>167985</v>
      </c>
      <c r="AI2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292">
        <f>IF(Table1[[#This Row],[Attrition]]="Yes",Table1[[#This Row],[EstReplacementCost]],0)</f>
        <v>0</v>
      </c>
    </row>
    <row r="293" spans="1:36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47</v>
      </c>
      <c r="P293">
        <v>2</v>
      </c>
      <c r="Q293" t="s">
        <v>41</v>
      </c>
      <c r="R293">
        <v>4485</v>
      </c>
      <c r="S293">
        <v>26285</v>
      </c>
      <c r="T293">
        <v>4</v>
      </c>
      <c r="U293" t="s">
        <v>43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tr">
        <f>IF(Table1[[#This Row],[YearsAtCompany]]&lt;1,"0-1",IF(Table1[[#This Row],[YearsAtCompany]]&lt;=3,"1-3",IF(Table1[[#This Row],[YearsAtCompany]]&lt;=6,"4-6","7+")))</f>
        <v>7+</v>
      </c>
      <c r="AH293">
        <f>Table1[[#This Row],[MonthlyIncome]]*12*0.75</f>
        <v>40365</v>
      </c>
      <c r="AI2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93">
        <f>IF(Table1[[#This Row],[Attrition]]="Yes",Table1[[#This Row],[EstReplacementCost]],0)</f>
        <v>0</v>
      </c>
    </row>
    <row r="294" spans="1:36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57</v>
      </c>
      <c r="P294">
        <v>2</v>
      </c>
      <c r="Q294" t="s">
        <v>52</v>
      </c>
      <c r="R294">
        <v>2789</v>
      </c>
      <c r="S294">
        <v>3909</v>
      </c>
      <c r="T294">
        <v>1</v>
      </c>
      <c r="U294" t="s">
        <v>43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tr">
        <f>IF(Table1[[#This Row],[YearsAtCompany]]&lt;1,"0-1",IF(Table1[[#This Row],[YearsAtCompany]]&lt;=3,"1-3",IF(Table1[[#This Row],[YearsAtCompany]]&lt;=6,"4-6","7+")))</f>
        <v>1-3</v>
      </c>
      <c r="AH294">
        <f>Table1[[#This Row],[MonthlyIncome]]*12*0.75</f>
        <v>25101</v>
      </c>
      <c r="AI2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94">
        <f>IF(Table1[[#This Row],[Attrition]]="Yes",Table1[[#This Row],[EstReplacementCost]],0)</f>
        <v>0</v>
      </c>
    </row>
    <row r="295" spans="1:36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>
        <v>5828</v>
      </c>
      <c r="S295">
        <v>8450</v>
      </c>
      <c r="T295">
        <v>1</v>
      </c>
      <c r="U295" t="s">
        <v>35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tr">
        <f>IF(Table1[[#This Row],[YearsAtCompany]]&lt;1,"0-1",IF(Table1[[#This Row],[YearsAtCompany]]&lt;=3,"1-3",IF(Table1[[#This Row],[YearsAtCompany]]&lt;=6,"4-6","7+")))</f>
        <v>7+</v>
      </c>
      <c r="AH295">
        <f>Table1[[#This Row],[MonthlyIncome]]*12*0.75</f>
        <v>52452</v>
      </c>
      <c r="AI2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95">
        <f>IF(Table1[[#This Row],[Attrition]]="Yes",Table1[[#This Row],[EstReplacementCost]],0)</f>
        <v>52452</v>
      </c>
    </row>
    <row r="296" spans="1:36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47</v>
      </c>
      <c r="P296">
        <v>4</v>
      </c>
      <c r="Q296" t="s">
        <v>48</v>
      </c>
      <c r="R296">
        <v>2326</v>
      </c>
      <c r="S296">
        <v>11411</v>
      </c>
      <c r="T296">
        <v>1</v>
      </c>
      <c r="U296" t="s">
        <v>35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tr">
        <f>IF(Table1[[#This Row],[YearsAtCompany]]&lt;1,"0-1",IF(Table1[[#This Row],[YearsAtCompany]]&lt;=3,"1-3",IF(Table1[[#This Row],[YearsAtCompany]]&lt;=6,"4-6","7+")))</f>
        <v>4-6</v>
      </c>
      <c r="AH296">
        <f>Table1[[#This Row],[MonthlyIncome]]*12*0.75</f>
        <v>20934</v>
      </c>
      <c r="AI2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96">
        <f>IF(Table1[[#This Row],[Attrition]]="Yes",Table1[[#This Row],[EstReplacementCost]],0)</f>
        <v>0</v>
      </c>
    </row>
    <row r="297" spans="1:36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48</v>
      </c>
      <c r="R297">
        <v>13525</v>
      </c>
      <c r="S297">
        <v>14864</v>
      </c>
      <c r="T297">
        <v>5</v>
      </c>
      <c r="U297" t="s">
        <v>43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tr">
        <f>IF(Table1[[#This Row],[YearsAtCompany]]&lt;1,"0-1",IF(Table1[[#This Row],[YearsAtCompany]]&lt;=3,"1-3",IF(Table1[[#This Row],[YearsAtCompany]]&lt;=6,"4-6","7+")))</f>
        <v>7+</v>
      </c>
      <c r="AH297">
        <f>Table1[[#This Row],[MonthlyIncome]]*12*0.75</f>
        <v>121725</v>
      </c>
      <c r="AI2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97">
        <f>IF(Table1[[#This Row],[Attrition]]="Yes",Table1[[#This Row],[EstReplacementCost]],0)</f>
        <v>0</v>
      </c>
    </row>
    <row r="298" spans="1:36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50</v>
      </c>
      <c r="P298">
        <v>3</v>
      </c>
      <c r="Q298" t="s">
        <v>41</v>
      </c>
      <c r="R298">
        <v>1420</v>
      </c>
      <c r="S298">
        <v>25233</v>
      </c>
      <c r="T298">
        <v>1</v>
      </c>
      <c r="U298" t="s">
        <v>43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tr">
        <f>IF(Table1[[#This Row],[YearsAtCompany]]&lt;1,"0-1",IF(Table1[[#This Row],[YearsAtCompany]]&lt;=3,"1-3",IF(Table1[[#This Row],[YearsAtCompany]]&lt;=6,"4-6","7+")))</f>
        <v>0-1</v>
      </c>
      <c r="AH298">
        <f>Table1[[#This Row],[MonthlyIncome]]*12*0.75</f>
        <v>12780</v>
      </c>
      <c r="AI2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298">
        <f>IF(Table1[[#This Row],[Attrition]]="Yes",Table1[[#This Row],[EstReplacementCost]],0)</f>
        <v>12780</v>
      </c>
    </row>
    <row r="299" spans="1:36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48</v>
      </c>
      <c r="R299">
        <v>8020</v>
      </c>
      <c r="S299">
        <v>5100</v>
      </c>
      <c r="T299">
        <v>0</v>
      </c>
      <c r="U299" t="s">
        <v>43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tr">
        <f>IF(Table1[[#This Row],[YearsAtCompany]]&lt;1,"0-1",IF(Table1[[#This Row],[YearsAtCompany]]&lt;=3,"1-3",IF(Table1[[#This Row],[YearsAtCompany]]&lt;=6,"4-6","7+")))</f>
        <v>7+</v>
      </c>
      <c r="AH299">
        <f>Table1[[#This Row],[MonthlyIncome]]*12*0.75</f>
        <v>72180</v>
      </c>
      <c r="AI2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299">
        <f>IF(Table1[[#This Row],[Attrition]]="Yes",Table1[[#This Row],[EstReplacementCost]],0)</f>
        <v>0</v>
      </c>
    </row>
    <row r="300" spans="1:36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50</v>
      </c>
      <c r="P300">
        <v>4</v>
      </c>
      <c r="Q300" t="s">
        <v>48</v>
      </c>
      <c r="R300">
        <v>3688</v>
      </c>
      <c r="S300">
        <v>7122</v>
      </c>
      <c r="T300">
        <v>4</v>
      </c>
      <c r="U300" t="s">
        <v>43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tr">
        <f>IF(Table1[[#This Row],[YearsAtCompany]]&lt;1,"0-1",IF(Table1[[#This Row],[YearsAtCompany]]&lt;=3,"1-3",IF(Table1[[#This Row],[YearsAtCompany]]&lt;=6,"4-6","7+")))</f>
        <v>1-3</v>
      </c>
      <c r="AH300">
        <f>Table1[[#This Row],[MonthlyIncome]]*12*0.75</f>
        <v>33192</v>
      </c>
      <c r="AI3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00">
        <f>IF(Table1[[#This Row],[Attrition]]="Yes",Table1[[#This Row],[EstReplacementCost]],0)</f>
        <v>0</v>
      </c>
    </row>
    <row r="301" spans="1:36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53</v>
      </c>
      <c r="P301">
        <v>2</v>
      </c>
      <c r="Q301" t="s">
        <v>52</v>
      </c>
      <c r="R301">
        <v>5482</v>
      </c>
      <c r="S301">
        <v>16321</v>
      </c>
      <c r="T301">
        <v>5</v>
      </c>
      <c r="U301" t="s">
        <v>43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tr">
        <f>IF(Table1[[#This Row],[YearsAtCompany]]&lt;1,"0-1",IF(Table1[[#This Row],[YearsAtCompany]]&lt;=3,"1-3",IF(Table1[[#This Row],[YearsAtCompany]]&lt;=6,"4-6","7+")))</f>
        <v>4-6</v>
      </c>
      <c r="AH301">
        <f>Table1[[#This Row],[MonthlyIncome]]*12*0.75</f>
        <v>49338</v>
      </c>
      <c r="AI3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01">
        <f>IF(Table1[[#This Row],[Attrition]]="Yes",Table1[[#This Row],[EstReplacementCost]],0)</f>
        <v>0</v>
      </c>
    </row>
    <row r="302" spans="1:36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56</v>
      </c>
      <c r="P302">
        <v>2</v>
      </c>
      <c r="Q302" t="s">
        <v>41</v>
      </c>
      <c r="R302">
        <v>16015</v>
      </c>
      <c r="S302">
        <v>15896</v>
      </c>
      <c r="T302">
        <v>1</v>
      </c>
      <c r="U302" t="s">
        <v>43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tr">
        <f>IF(Table1[[#This Row],[YearsAtCompany]]&lt;1,"0-1",IF(Table1[[#This Row],[YearsAtCompany]]&lt;=3,"1-3",IF(Table1[[#This Row],[YearsAtCompany]]&lt;=6,"4-6","7+")))</f>
        <v>7+</v>
      </c>
      <c r="AH302">
        <f>Table1[[#This Row],[MonthlyIncome]]*12*0.75</f>
        <v>144135</v>
      </c>
      <c r="AI3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02">
        <f>IF(Table1[[#This Row],[Attrition]]="Yes",Table1[[#This Row],[EstReplacementCost]],0)</f>
        <v>0</v>
      </c>
    </row>
    <row r="303" spans="1:36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57</v>
      </c>
      <c r="P303">
        <v>3</v>
      </c>
      <c r="Q303" t="s">
        <v>41</v>
      </c>
      <c r="R303">
        <v>1200</v>
      </c>
      <c r="S303">
        <v>9724</v>
      </c>
      <c r="T303">
        <v>1</v>
      </c>
      <c r="U303" t="s">
        <v>43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tr">
        <f>IF(Table1[[#This Row],[YearsAtCompany]]&lt;1,"0-1",IF(Table1[[#This Row],[YearsAtCompany]]&lt;=3,"1-3",IF(Table1[[#This Row],[YearsAtCompany]]&lt;=6,"4-6","7+")))</f>
        <v>0-1</v>
      </c>
      <c r="AH303">
        <f>Table1[[#This Row],[MonthlyIncome]]*12*0.75</f>
        <v>10800</v>
      </c>
      <c r="AI3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03">
        <f>IF(Table1[[#This Row],[Attrition]]="Yes",Table1[[#This Row],[EstReplacementCost]],0)</f>
        <v>0</v>
      </c>
    </row>
    <row r="304" spans="1:36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54</v>
      </c>
      <c r="P304">
        <v>1</v>
      </c>
      <c r="Q304" t="s">
        <v>41</v>
      </c>
      <c r="R304">
        <v>5661</v>
      </c>
      <c r="S304">
        <v>4824</v>
      </c>
      <c r="T304">
        <v>0</v>
      </c>
      <c r="U304" t="s">
        <v>43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tr">
        <f>IF(Table1[[#This Row],[YearsAtCompany]]&lt;1,"0-1",IF(Table1[[#This Row],[YearsAtCompany]]&lt;=3,"1-3",IF(Table1[[#This Row],[YearsAtCompany]]&lt;=6,"4-6","7+")))</f>
        <v>7+</v>
      </c>
      <c r="AH304">
        <f>Table1[[#This Row],[MonthlyIncome]]*12*0.75</f>
        <v>50949</v>
      </c>
      <c r="AI3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04">
        <f>IF(Table1[[#This Row],[Attrition]]="Yes",Table1[[#This Row],[EstReplacementCost]],0)</f>
        <v>0</v>
      </c>
    </row>
    <row r="305" spans="1:36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48</v>
      </c>
      <c r="R305">
        <v>6929</v>
      </c>
      <c r="S305">
        <v>12241</v>
      </c>
      <c r="T305">
        <v>4</v>
      </c>
      <c r="U305" t="s">
        <v>43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tr">
        <f>IF(Table1[[#This Row],[YearsAtCompany]]&lt;1,"0-1",IF(Table1[[#This Row],[YearsAtCompany]]&lt;=3,"1-3",IF(Table1[[#This Row],[YearsAtCompany]]&lt;=6,"4-6","7+")))</f>
        <v>7+</v>
      </c>
      <c r="AH305">
        <f>Table1[[#This Row],[MonthlyIncome]]*12*0.75</f>
        <v>62361</v>
      </c>
      <c r="AI3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05">
        <f>IF(Table1[[#This Row],[Attrition]]="Yes",Table1[[#This Row],[EstReplacementCost]],0)</f>
        <v>0</v>
      </c>
    </row>
    <row r="306" spans="1:36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54</v>
      </c>
      <c r="P306">
        <v>4</v>
      </c>
      <c r="Q306" t="s">
        <v>52</v>
      </c>
      <c r="R306">
        <v>9613</v>
      </c>
      <c r="S306">
        <v>10942</v>
      </c>
      <c r="T306">
        <v>0</v>
      </c>
      <c r="U306" t="s">
        <v>43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tr">
        <f>IF(Table1[[#This Row],[YearsAtCompany]]&lt;1,"0-1",IF(Table1[[#This Row],[YearsAtCompany]]&lt;=3,"1-3",IF(Table1[[#This Row],[YearsAtCompany]]&lt;=6,"4-6","7+")))</f>
        <v>7+</v>
      </c>
      <c r="AH306">
        <f>Table1[[#This Row],[MonthlyIncome]]*12*0.75</f>
        <v>86517</v>
      </c>
      <c r="AI3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06">
        <f>IF(Table1[[#This Row],[Attrition]]="Yes",Table1[[#This Row],[EstReplacementCost]],0)</f>
        <v>0</v>
      </c>
    </row>
    <row r="307" spans="1:36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50</v>
      </c>
      <c r="P307">
        <v>2</v>
      </c>
      <c r="Q307" t="s">
        <v>48</v>
      </c>
      <c r="R307">
        <v>5674</v>
      </c>
      <c r="S307">
        <v>6927</v>
      </c>
      <c r="T307">
        <v>7</v>
      </c>
      <c r="U307" t="s">
        <v>43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tr">
        <f>IF(Table1[[#This Row],[YearsAtCompany]]&lt;1,"0-1",IF(Table1[[#This Row],[YearsAtCompany]]&lt;=3,"1-3",IF(Table1[[#This Row],[YearsAtCompany]]&lt;=6,"4-6","7+")))</f>
        <v>7+</v>
      </c>
      <c r="AH307">
        <f>Table1[[#This Row],[MonthlyIncome]]*12*0.75</f>
        <v>51066</v>
      </c>
      <c r="AI3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07">
        <f>IF(Table1[[#This Row],[Attrition]]="Yes",Table1[[#This Row],[EstReplacementCost]],0)</f>
        <v>0</v>
      </c>
    </row>
    <row r="308" spans="1:36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48</v>
      </c>
      <c r="R308">
        <v>5484</v>
      </c>
      <c r="S308">
        <v>16985</v>
      </c>
      <c r="T308">
        <v>1</v>
      </c>
      <c r="U308" t="s">
        <v>43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tr">
        <f>IF(Table1[[#This Row],[YearsAtCompany]]&lt;1,"0-1",IF(Table1[[#This Row],[YearsAtCompany]]&lt;=3,"1-3",IF(Table1[[#This Row],[YearsAtCompany]]&lt;=6,"4-6","7+")))</f>
        <v>7+</v>
      </c>
      <c r="AH308">
        <f>Table1[[#This Row],[MonthlyIncome]]*12*0.75</f>
        <v>49356</v>
      </c>
      <c r="AI3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08">
        <f>IF(Table1[[#This Row],[Attrition]]="Yes",Table1[[#This Row],[EstReplacementCost]],0)</f>
        <v>0</v>
      </c>
    </row>
    <row r="309" spans="1:36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58</v>
      </c>
      <c r="P309">
        <v>2</v>
      </c>
      <c r="Q309" t="s">
        <v>48</v>
      </c>
      <c r="R309">
        <v>12061</v>
      </c>
      <c r="S309">
        <v>26707</v>
      </c>
      <c r="T309">
        <v>3</v>
      </c>
      <c r="U309" t="s">
        <v>43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tr">
        <f>IF(Table1[[#This Row],[YearsAtCompany]]&lt;1,"0-1",IF(Table1[[#This Row],[YearsAtCompany]]&lt;=3,"1-3",IF(Table1[[#This Row],[YearsAtCompany]]&lt;=6,"4-6","7+")))</f>
        <v>7+</v>
      </c>
      <c r="AH309">
        <f>Table1[[#This Row],[MonthlyIncome]]*12*0.75</f>
        <v>108549</v>
      </c>
      <c r="AI3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09">
        <f>IF(Table1[[#This Row],[Attrition]]="Yes",Table1[[#This Row],[EstReplacementCost]],0)</f>
        <v>0</v>
      </c>
    </row>
    <row r="310" spans="1:36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54</v>
      </c>
      <c r="P310">
        <v>3</v>
      </c>
      <c r="Q310" t="s">
        <v>52</v>
      </c>
      <c r="R310">
        <v>5660</v>
      </c>
      <c r="S310">
        <v>17056</v>
      </c>
      <c r="T310">
        <v>2</v>
      </c>
      <c r="U310" t="s">
        <v>35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tr">
        <f>IF(Table1[[#This Row],[YearsAtCompany]]&lt;1,"0-1",IF(Table1[[#This Row],[YearsAtCompany]]&lt;=3,"1-3",IF(Table1[[#This Row],[YearsAtCompany]]&lt;=6,"4-6","7+")))</f>
        <v>4-6</v>
      </c>
      <c r="AH310">
        <f>Table1[[#This Row],[MonthlyIncome]]*12*0.75</f>
        <v>50940</v>
      </c>
      <c r="AI3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10">
        <f>IF(Table1[[#This Row],[Attrition]]="Yes",Table1[[#This Row],[EstReplacementCost]],0)</f>
        <v>0</v>
      </c>
    </row>
    <row r="311" spans="1:36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47</v>
      </c>
      <c r="P311">
        <v>4</v>
      </c>
      <c r="Q311" t="s">
        <v>48</v>
      </c>
      <c r="R311">
        <v>4821</v>
      </c>
      <c r="S311">
        <v>10077</v>
      </c>
      <c r="T311">
        <v>0</v>
      </c>
      <c r="U311" t="s">
        <v>35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tr">
        <f>IF(Table1[[#This Row],[YearsAtCompany]]&lt;1,"0-1",IF(Table1[[#This Row],[YearsAtCompany]]&lt;=3,"1-3",IF(Table1[[#This Row],[YearsAtCompany]]&lt;=6,"4-6","7+")))</f>
        <v>4-6</v>
      </c>
      <c r="AH311">
        <f>Table1[[#This Row],[MonthlyIncome]]*12*0.75</f>
        <v>43389</v>
      </c>
      <c r="AI3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11">
        <f>IF(Table1[[#This Row],[Attrition]]="Yes",Table1[[#This Row],[EstReplacementCost]],0)</f>
        <v>0</v>
      </c>
    </row>
    <row r="312" spans="1:36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61</v>
      </c>
      <c r="P312">
        <v>1</v>
      </c>
      <c r="Q312" t="s">
        <v>48</v>
      </c>
      <c r="R312">
        <v>6410</v>
      </c>
      <c r="S312">
        <v>17822</v>
      </c>
      <c r="T312">
        <v>3</v>
      </c>
      <c r="U312" t="s">
        <v>43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tr">
        <f>IF(Table1[[#This Row],[YearsAtCompany]]&lt;1,"0-1",IF(Table1[[#This Row],[YearsAtCompany]]&lt;=3,"1-3",IF(Table1[[#This Row],[YearsAtCompany]]&lt;=6,"4-6","7+")))</f>
        <v>1-3</v>
      </c>
      <c r="AH312">
        <f>Table1[[#This Row],[MonthlyIncome]]*12*0.75</f>
        <v>57690</v>
      </c>
      <c r="AI3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12">
        <f>IF(Table1[[#This Row],[Attrition]]="Yes",Table1[[#This Row],[EstReplacementCost]],0)</f>
        <v>0</v>
      </c>
    </row>
    <row r="313" spans="1:36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50</v>
      </c>
      <c r="P313">
        <v>1</v>
      </c>
      <c r="Q313" t="s">
        <v>52</v>
      </c>
      <c r="R313">
        <v>5210</v>
      </c>
      <c r="S313">
        <v>20308</v>
      </c>
      <c r="T313">
        <v>1</v>
      </c>
      <c r="U313" t="s">
        <v>43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tr">
        <f>IF(Table1[[#This Row],[YearsAtCompany]]&lt;1,"0-1",IF(Table1[[#This Row],[YearsAtCompany]]&lt;=3,"1-3",IF(Table1[[#This Row],[YearsAtCompany]]&lt;=6,"4-6","7+")))</f>
        <v>7+</v>
      </c>
      <c r="AH313">
        <f>Table1[[#This Row],[MonthlyIncome]]*12*0.75</f>
        <v>46890</v>
      </c>
      <c r="AI3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13">
        <f>IF(Table1[[#This Row],[Attrition]]="Yes",Table1[[#This Row],[EstReplacementCost]],0)</f>
        <v>0</v>
      </c>
    </row>
    <row r="314" spans="1:36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47</v>
      </c>
      <c r="P314">
        <v>4</v>
      </c>
      <c r="Q314" t="s">
        <v>52</v>
      </c>
      <c r="R314">
        <v>2695</v>
      </c>
      <c r="S314">
        <v>7747</v>
      </c>
      <c r="T314">
        <v>0</v>
      </c>
      <c r="U314" t="s">
        <v>35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tr">
        <f>IF(Table1[[#This Row],[YearsAtCompany]]&lt;1,"0-1",IF(Table1[[#This Row],[YearsAtCompany]]&lt;=3,"1-3",IF(Table1[[#This Row],[YearsAtCompany]]&lt;=6,"4-6","7+")))</f>
        <v>1-3</v>
      </c>
      <c r="AH314">
        <f>Table1[[#This Row],[MonthlyIncome]]*12*0.75</f>
        <v>24255</v>
      </c>
      <c r="AI3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14">
        <f>IF(Table1[[#This Row],[Attrition]]="Yes",Table1[[#This Row],[EstReplacementCost]],0)</f>
        <v>0</v>
      </c>
    </row>
    <row r="315" spans="1:36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56</v>
      </c>
      <c r="P315">
        <v>2</v>
      </c>
      <c r="Q315" t="s">
        <v>48</v>
      </c>
      <c r="R315">
        <v>11878</v>
      </c>
      <c r="S315">
        <v>23364</v>
      </c>
      <c r="T315">
        <v>6</v>
      </c>
      <c r="U315" t="s">
        <v>43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tr">
        <f>IF(Table1[[#This Row],[YearsAtCompany]]&lt;1,"0-1",IF(Table1[[#This Row],[YearsAtCompany]]&lt;=3,"1-3",IF(Table1[[#This Row],[YearsAtCompany]]&lt;=6,"4-6","7+")))</f>
        <v>7+</v>
      </c>
      <c r="AH315">
        <f>Table1[[#This Row],[MonthlyIncome]]*12*0.75</f>
        <v>106902</v>
      </c>
      <c r="AI3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15">
        <f>IF(Table1[[#This Row],[Attrition]]="Yes",Table1[[#This Row],[EstReplacementCost]],0)</f>
        <v>0</v>
      </c>
    </row>
    <row r="316" spans="1:36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56</v>
      </c>
      <c r="P316">
        <v>1</v>
      </c>
      <c r="Q316" t="s">
        <v>48</v>
      </c>
      <c r="R316">
        <v>17068</v>
      </c>
      <c r="S316">
        <v>5355</v>
      </c>
      <c r="T316">
        <v>1</v>
      </c>
      <c r="U316" t="s">
        <v>35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tr">
        <f>IF(Table1[[#This Row],[YearsAtCompany]]&lt;1,"0-1",IF(Table1[[#This Row],[YearsAtCompany]]&lt;=3,"1-3",IF(Table1[[#This Row],[YearsAtCompany]]&lt;=6,"4-6","7+")))</f>
        <v>7+</v>
      </c>
      <c r="AH316">
        <f>Table1[[#This Row],[MonthlyIncome]]*12*0.75</f>
        <v>153612</v>
      </c>
      <c r="AI3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16">
        <f>IF(Table1[[#This Row],[Attrition]]="Yes",Table1[[#This Row],[EstReplacementCost]],0)</f>
        <v>0</v>
      </c>
    </row>
    <row r="317" spans="1:36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50</v>
      </c>
      <c r="P317">
        <v>4</v>
      </c>
      <c r="Q317" t="s">
        <v>41</v>
      </c>
      <c r="R317">
        <v>2455</v>
      </c>
      <c r="S317">
        <v>10675</v>
      </c>
      <c r="T317">
        <v>0</v>
      </c>
      <c r="U317" t="s">
        <v>43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tr">
        <f>IF(Table1[[#This Row],[YearsAtCompany]]&lt;1,"0-1",IF(Table1[[#This Row],[YearsAtCompany]]&lt;=3,"1-3",IF(Table1[[#This Row],[YearsAtCompany]]&lt;=6,"4-6","7+")))</f>
        <v>7+</v>
      </c>
      <c r="AH317">
        <f>Table1[[#This Row],[MonthlyIncome]]*12*0.75</f>
        <v>22095</v>
      </c>
      <c r="AI3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17">
        <f>IF(Table1[[#This Row],[Attrition]]="Yes",Table1[[#This Row],[EstReplacementCost]],0)</f>
        <v>0</v>
      </c>
    </row>
    <row r="318" spans="1:36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54</v>
      </c>
      <c r="P318">
        <v>3</v>
      </c>
      <c r="Q318" t="s">
        <v>41</v>
      </c>
      <c r="R318">
        <v>13964</v>
      </c>
      <c r="S318">
        <v>17810</v>
      </c>
      <c r="T318">
        <v>7</v>
      </c>
      <c r="U318" t="s">
        <v>35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tr">
        <f>IF(Table1[[#This Row],[YearsAtCompany]]&lt;1,"0-1",IF(Table1[[#This Row],[YearsAtCompany]]&lt;=3,"1-3",IF(Table1[[#This Row],[YearsAtCompany]]&lt;=6,"4-6","7+")))</f>
        <v>7+</v>
      </c>
      <c r="AH318">
        <f>Table1[[#This Row],[MonthlyIncome]]*12*0.75</f>
        <v>125676</v>
      </c>
      <c r="AI3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18">
        <f>IF(Table1[[#This Row],[Attrition]]="Yes",Table1[[#This Row],[EstReplacementCost]],0)</f>
        <v>0</v>
      </c>
    </row>
    <row r="319" spans="1:36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47</v>
      </c>
      <c r="P319">
        <v>2</v>
      </c>
      <c r="Q319" t="s">
        <v>48</v>
      </c>
      <c r="R319">
        <v>4941</v>
      </c>
      <c r="S319">
        <v>17747</v>
      </c>
      <c r="T319">
        <v>2</v>
      </c>
      <c r="U319" t="s">
        <v>43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tr">
        <f>IF(Table1[[#This Row],[YearsAtCompany]]&lt;1,"0-1",IF(Table1[[#This Row],[YearsAtCompany]]&lt;=3,"1-3",IF(Table1[[#This Row],[YearsAtCompany]]&lt;=6,"4-6","7+")))</f>
        <v>7+</v>
      </c>
      <c r="AH319">
        <f>Table1[[#This Row],[MonthlyIncome]]*12*0.75</f>
        <v>44469</v>
      </c>
      <c r="AI3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19">
        <f>IF(Table1[[#This Row],[Attrition]]="Yes",Table1[[#This Row],[EstReplacementCost]],0)</f>
        <v>44469</v>
      </c>
    </row>
    <row r="320" spans="1:36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47</v>
      </c>
      <c r="P320">
        <v>2</v>
      </c>
      <c r="Q320" t="s">
        <v>41</v>
      </c>
      <c r="R320">
        <v>2478</v>
      </c>
      <c r="S320">
        <v>20938</v>
      </c>
      <c r="T320">
        <v>1</v>
      </c>
      <c r="U320" t="s">
        <v>35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tr">
        <f>IF(Table1[[#This Row],[YearsAtCompany]]&lt;1,"0-1",IF(Table1[[#This Row],[YearsAtCompany]]&lt;=3,"1-3",IF(Table1[[#This Row],[YearsAtCompany]]&lt;=6,"4-6","7+")))</f>
        <v>4-6</v>
      </c>
      <c r="AH320">
        <f>Table1[[#This Row],[MonthlyIncome]]*12*0.75</f>
        <v>22302</v>
      </c>
      <c r="AI3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20">
        <f>IF(Table1[[#This Row],[Attrition]]="Yes",Table1[[#This Row],[EstReplacementCost]],0)</f>
        <v>0</v>
      </c>
    </row>
    <row r="321" spans="1:36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48</v>
      </c>
      <c r="R321">
        <v>5228</v>
      </c>
      <c r="S321">
        <v>24624</v>
      </c>
      <c r="T321">
        <v>1</v>
      </c>
      <c r="U321" t="s">
        <v>35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tr">
        <f>IF(Table1[[#This Row],[YearsAtCompany]]&lt;1,"0-1",IF(Table1[[#This Row],[YearsAtCompany]]&lt;=3,"1-3",IF(Table1[[#This Row],[YearsAtCompany]]&lt;=6,"4-6","7+")))</f>
        <v>7+</v>
      </c>
      <c r="AH321">
        <f>Table1[[#This Row],[MonthlyIncome]]*12*0.75</f>
        <v>47052</v>
      </c>
      <c r="AI3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21">
        <f>IF(Table1[[#This Row],[Attrition]]="Yes",Table1[[#This Row],[EstReplacementCost]],0)</f>
        <v>0</v>
      </c>
    </row>
    <row r="322" spans="1:36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>
        <v>4478</v>
      </c>
      <c r="S322">
        <v>5242</v>
      </c>
      <c r="T322">
        <v>1</v>
      </c>
      <c r="U322" t="s">
        <v>35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tr">
        <f>IF(Table1[[#This Row],[YearsAtCompany]]&lt;1,"0-1",IF(Table1[[#This Row],[YearsAtCompany]]&lt;=3,"1-3",IF(Table1[[#This Row],[YearsAtCompany]]&lt;=6,"4-6","7+")))</f>
        <v>4-6</v>
      </c>
      <c r="AH322">
        <f>Table1[[#This Row],[MonthlyIncome]]*12*0.75</f>
        <v>40302</v>
      </c>
      <c r="AI3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22">
        <f>IF(Table1[[#This Row],[Attrition]]="Yes",Table1[[#This Row],[EstReplacementCost]],0)</f>
        <v>0</v>
      </c>
    </row>
    <row r="323" spans="1:36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52</v>
      </c>
      <c r="R323">
        <v>7547</v>
      </c>
      <c r="S323">
        <v>7143</v>
      </c>
      <c r="T323">
        <v>4</v>
      </c>
      <c r="U323" t="s">
        <v>43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tr">
        <f>IF(Table1[[#This Row],[YearsAtCompany]]&lt;1,"0-1",IF(Table1[[#This Row],[YearsAtCompany]]&lt;=3,"1-3",IF(Table1[[#This Row],[YearsAtCompany]]&lt;=6,"4-6","7+")))</f>
        <v>7+</v>
      </c>
      <c r="AH323">
        <f>Table1[[#This Row],[MonthlyIncome]]*12*0.75</f>
        <v>67923</v>
      </c>
      <c r="AI3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23">
        <f>IF(Table1[[#This Row],[Attrition]]="Yes",Table1[[#This Row],[EstReplacementCost]],0)</f>
        <v>0</v>
      </c>
    </row>
    <row r="324" spans="1:36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47</v>
      </c>
      <c r="P324">
        <v>4</v>
      </c>
      <c r="Q324" t="s">
        <v>41</v>
      </c>
      <c r="R324">
        <v>5055</v>
      </c>
      <c r="S324">
        <v>10557</v>
      </c>
      <c r="T324">
        <v>7</v>
      </c>
      <c r="U324" t="s">
        <v>43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tr">
        <f>IF(Table1[[#This Row],[YearsAtCompany]]&lt;1,"0-1",IF(Table1[[#This Row],[YearsAtCompany]]&lt;=3,"1-3",IF(Table1[[#This Row],[YearsAtCompany]]&lt;=6,"4-6","7+")))</f>
        <v>7+</v>
      </c>
      <c r="AH324">
        <f>Table1[[#This Row],[MonthlyIncome]]*12*0.75</f>
        <v>45495</v>
      </c>
      <c r="AI3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24">
        <f>IF(Table1[[#This Row],[Attrition]]="Yes",Table1[[#This Row],[EstReplacementCost]],0)</f>
        <v>0</v>
      </c>
    </row>
    <row r="325" spans="1:36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47</v>
      </c>
      <c r="P325">
        <v>4</v>
      </c>
      <c r="Q325" t="s">
        <v>48</v>
      </c>
      <c r="R325">
        <v>3464</v>
      </c>
      <c r="S325">
        <v>24737</v>
      </c>
      <c r="T325">
        <v>5</v>
      </c>
      <c r="U325" t="s">
        <v>35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tr">
        <f>IF(Table1[[#This Row],[YearsAtCompany]]&lt;1,"0-1",IF(Table1[[#This Row],[YearsAtCompany]]&lt;=3,"1-3",IF(Table1[[#This Row],[YearsAtCompany]]&lt;=6,"4-6","7+")))</f>
        <v>1-3</v>
      </c>
      <c r="AH325">
        <f>Table1[[#This Row],[MonthlyIncome]]*12*0.75</f>
        <v>31176</v>
      </c>
      <c r="AI3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25">
        <f>IF(Table1[[#This Row],[Attrition]]="Yes",Table1[[#This Row],[EstReplacementCost]],0)</f>
        <v>31176</v>
      </c>
    </row>
    <row r="326" spans="1:36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47</v>
      </c>
      <c r="P326">
        <v>4</v>
      </c>
      <c r="Q326" t="s">
        <v>48</v>
      </c>
      <c r="R326">
        <v>5775</v>
      </c>
      <c r="S326">
        <v>11934</v>
      </c>
      <c r="T326">
        <v>1</v>
      </c>
      <c r="U326" t="s">
        <v>43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tr">
        <f>IF(Table1[[#This Row],[YearsAtCompany]]&lt;1,"0-1",IF(Table1[[#This Row],[YearsAtCompany]]&lt;=3,"1-3",IF(Table1[[#This Row],[YearsAtCompany]]&lt;=6,"4-6","7+")))</f>
        <v>7+</v>
      </c>
      <c r="AH326">
        <f>Table1[[#This Row],[MonthlyIncome]]*12*0.75</f>
        <v>51975</v>
      </c>
      <c r="AI3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26">
        <f>IF(Table1[[#This Row],[Attrition]]="Yes",Table1[[#This Row],[EstReplacementCost]],0)</f>
        <v>0</v>
      </c>
    </row>
    <row r="327" spans="1:36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53</v>
      </c>
      <c r="P327">
        <v>3</v>
      </c>
      <c r="Q327" t="s">
        <v>48</v>
      </c>
      <c r="R327">
        <v>8943</v>
      </c>
      <c r="S327">
        <v>14034</v>
      </c>
      <c r="T327">
        <v>1</v>
      </c>
      <c r="U327" t="s">
        <v>43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tr">
        <f>IF(Table1[[#This Row],[YearsAtCompany]]&lt;1,"0-1",IF(Table1[[#This Row],[YearsAtCompany]]&lt;=3,"1-3",IF(Table1[[#This Row],[YearsAtCompany]]&lt;=6,"4-6","7+")))</f>
        <v>7+</v>
      </c>
      <c r="AH327">
        <f>Table1[[#This Row],[MonthlyIncome]]*12*0.75</f>
        <v>80487</v>
      </c>
      <c r="AI3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27">
        <f>IF(Table1[[#This Row],[Attrition]]="Yes",Table1[[#This Row],[EstReplacementCost]],0)</f>
        <v>0</v>
      </c>
    </row>
    <row r="328" spans="1:36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56</v>
      </c>
      <c r="P328">
        <v>4</v>
      </c>
      <c r="Q328" t="s">
        <v>48</v>
      </c>
      <c r="R328">
        <v>19272</v>
      </c>
      <c r="S328">
        <v>21141</v>
      </c>
      <c r="T328">
        <v>1</v>
      </c>
      <c r="U328" t="s">
        <v>43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tr">
        <f>IF(Table1[[#This Row],[YearsAtCompany]]&lt;1,"0-1",IF(Table1[[#This Row],[YearsAtCompany]]&lt;=3,"1-3",IF(Table1[[#This Row],[YearsAtCompany]]&lt;=6,"4-6","7+")))</f>
        <v>7+</v>
      </c>
      <c r="AH328">
        <f>Table1[[#This Row],[MonthlyIncome]]*12*0.75</f>
        <v>173448</v>
      </c>
      <c r="AI3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28">
        <f>IF(Table1[[#This Row],[Attrition]]="Yes",Table1[[#This Row],[EstReplacementCost]],0)</f>
        <v>0</v>
      </c>
    </row>
    <row r="329" spans="1:36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48</v>
      </c>
      <c r="R329">
        <v>5238</v>
      </c>
      <c r="S329">
        <v>17778</v>
      </c>
      <c r="T329">
        <v>4</v>
      </c>
      <c r="U329" t="s">
        <v>35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tr">
        <f>IF(Table1[[#This Row],[YearsAtCompany]]&lt;1,"0-1",IF(Table1[[#This Row],[YearsAtCompany]]&lt;=3,"1-3",IF(Table1[[#This Row],[YearsAtCompany]]&lt;=6,"4-6","7+")))</f>
        <v>1-3</v>
      </c>
      <c r="AH329">
        <f>Table1[[#This Row],[MonthlyIncome]]*12*0.75</f>
        <v>47142</v>
      </c>
      <c r="AI3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29">
        <f>IF(Table1[[#This Row],[Attrition]]="Yes",Table1[[#This Row],[EstReplacementCost]],0)</f>
        <v>47142</v>
      </c>
    </row>
    <row r="330" spans="1:36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>
        <v>4682</v>
      </c>
      <c r="S330">
        <v>4317</v>
      </c>
      <c r="T330">
        <v>3</v>
      </c>
      <c r="U330" t="s">
        <v>43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tr">
        <f>IF(Table1[[#This Row],[YearsAtCompany]]&lt;1,"0-1",IF(Table1[[#This Row],[YearsAtCompany]]&lt;=3,"1-3",IF(Table1[[#This Row],[YearsAtCompany]]&lt;=6,"4-6","7+")))</f>
        <v>7+</v>
      </c>
      <c r="AH330">
        <f>Table1[[#This Row],[MonthlyIncome]]*12*0.75</f>
        <v>42138</v>
      </c>
      <c r="AI3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30">
        <f>IF(Table1[[#This Row],[Attrition]]="Yes",Table1[[#This Row],[EstReplacementCost]],0)</f>
        <v>0</v>
      </c>
    </row>
    <row r="331" spans="1:36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58</v>
      </c>
      <c r="P331">
        <v>3</v>
      </c>
      <c r="Q331" t="s">
        <v>48</v>
      </c>
      <c r="R331">
        <v>18300</v>
      </c>
      <c r="S331">
        <v>16375</v>
      </c>
      <c r="T331">
        <v>4</v>
      </c>
      <c r="U331" t="s">
        <v>43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tr">
        <f>IF(Table1[[#This Row],[YearsAtCompany]]&lt;1,"0-1",IF(Table1[[#This Row],[YearsAtCompany]]&lt;=3,"1-3",IF(Table1[[#This Row],[YearsAtCompany]]&lt;=6,"4-6","7+")))</f>
        <v>1-3</v>
      </c>
      <c r="AH331">
        <f>Table1[[#This Row],[MonthlyIncome]]*12*0.75</f>
        <v>164700</v>
      </c>
      <c r="AI3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31">
        <f>IF(Table1[[#This Row],[Attrition]]="Yes",Table1[[#This Row],[EstReplacementCost]],0)</f>
        <v>0</v>
      </c>
    </row>
    <row r="332" spans="1:36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50</v>
      </c>
      <c r="P332">
        <v>3</v>
      </c>
      <c r="Q332" t="s">
        <v>52</v>
      </c>
      <c r="R332">
        <v>5257</v>
      </c>
      <c r="S332">
        <v>6227</v>
      </c>
      <c r="T332">
        <v>1</v>
      </c>
      <c r="U332" t="s">
        <v>43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tr">
        <f>IF(Table1[[#This Row],[YearsAtCompany]]&lt;1,"0-1",IF(Table1[[#This Row],[YearsAtCompany]]&lt;=3,"1-3",IF(Table1[[#This Row],[YearsAtCompany]]&lt;=6,"4-6","7+")))</f>
        <v>7+</v>
      </c>
      <c r="AH332">
        <f>Table1[[#This Row],[MonthlyIncome]]*12*0.75</f>
        <v>47313</v>
      </c>
      <c r="AI3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32">
        <f>IF(Table1[[#This Row],[Attrition]]="Yes",Table1[[#This Row],[EstReplacementCost]],0)</f>
        <v>0</v>
      </c>
    </row>
    <row r="333" spans="1:36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48</v>
      </c>
      <c r="R333">
        <v>6349</v>
      </c>
      <c r="S333">
        <v>22107</v>
      </c>
      <c r="T333">
        <v>0</v>
      </c>
      <c r="U333" t="s">
        <v>35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tr">
        <f>IF(Table1[[#This Row],[YearsAtCompany]]&lt;1,"0-1",IF(Table1[[#This Row],[YearsAtCompany]]&lt;=3,"1-3",IF(Table1[[#This Row],[YearsAtCompany]]&lt;=6,"4-6","7+")))</f>
        <v>4-6</v>
      </c>
      <c r="AH333">
        <f>Table1[[#This Row],[MonthlyIncome]]*12*0.75</f>
        <v>57141</v>
      </c>
      <c r="AI3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33">
        <f>IF(Table1[[#This Row],[Attrition]]="Yes",Table1[[#This Row],[EstReplacementCost]],0)</f>
        <v>0</v>
      </c>
    </row>
    <row r="334" spans="1:36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47</v>
      </c>
      <c r="P334">
        <v>3</v>
      </c>
      <c r="Q334" t="s">
        <v>41</v>
      </c>
      <c r="R334">
        <v>4869</v>
      </c>
      <c r="S334">
        <v>16885</v>
      </c>
      <c r="T334">
        <v>3</v>
      </c>
      <c r="U334" t="s">
        <v>43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tr">
        <f>IF(Table1[[#This Row],[YearsAtCompany]]&lt;1,"0-1",IF(Table1[[#This Row],[YearsAtCompany]]&lt;=3,"1-3",IF(Table1[[#This Row],[YearsAtCompany]]&lt;=6,"4-6","7+")))</f>
        <v>4-6</v>
      </c>
      <c r="AH334">
        <f>Table1[[#This Row],[MonthlyIncome]]*12*0.75</f>
        <v>43821</v>
      </c>
      <c r="AI3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34">
        <f>IF(Table1[[#This Row],[Attrition]]="Yes",Table1[[#This Row],[EstReplacementCost]],0)</f>
        <v>0</v>
      </c>
    </row>
    <row r="335" spans="1:36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54</v>
      </c>
      <c r="P335">
        <v>1</v>
      </c>
      <c r="Q335" t="s">
        <v>48</v>
      </c>
      <c r="R335">
        <v>9985</v>
      </c>
      <c r="S335">
        <v>9262</v>
      </c>
      <c r="T335">
        <v>8</v>
      </c>
      <c r="U335" t="s">
        <v>43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tr">
        <f>IF(Table1[[#This Row],[YearsAtCompany]]&lt;1,"0-1",IF(Table1[[#This Row],[YearsAtCompany]]&lt;=3,"1-3",IF(Table1[[#This Row],[YearsAtCompany]]&lt;=6,"4-6","7+")))</f>
        <v>1-3</v>
      </c>
      <c r="AH335">
        <f>Table1[[#This Row],[MonthlyIncome]]*12*0.75</f>
        <v>89865</v>
      </c>
      <c r="AI3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35">
        <f>IF(Table1[[#This Row],[Attrition]]="Yes",Table1[[#This Row],[EstReplacementCost]],0)</f>
        <v>0</v>
      </c>
    </row>
    <row r="336" spans="1:36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47</v>
      </c>
      <c r="P336">
        <v>4</v>
      </c>
      <c r="Q336" t="s">
        <v>48</v>
      </c>
      <c r="R336">
        <v>3697</v>
      </c>
      <c r="S336">
        <v>9278</v>
      </c>
      <c r="T336">
        <v>9</v>
      </c>
      <c r="U336" t="s">
        <v>43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tr">
        <f>IF(Table1[[#This Row],[YearsAtCompany]]&lt;1,"0-1",IF(Table1[[#This Row],[YearsAtCompany]]&lt;=3,"1-3",IF(Table1[[#This Row],[YearsAtCompany]]&lt;=6,"4-6","7+")))</f>
        <v>7+</v>
      </c>
      <c r="AH336">
        <f>Table1[[#This Row],[MonthlyIncome]]*12*0.75</f>
        <v>33273</v>
      </c>
      <c r="AI3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36">
        <f>IF(Table1[[#This Row],[Attrition]]="Yes",Table1[[#This Row],[EstReplacementCost]],0)</f>
        <v>0</v>
      </c>
    </row>
    <row r="337" spans="1:36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48</v>
      </c>
      <c r="R337">
        <v>7457</v>
      </c>
      <c r="S337">
        <v>13273</v>
      </c>
      <c r="T337">
        <v>2</v>
      </c>
      <c r="U337" t="s">
        <v>35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tr">
        <f>IF(Table1[[#This Row],[YearsAtCompany]]&lt;1,"0-1",IF(Table1[[#This Row],[YearsAtCompany]]&lt;=3,"1-3",IF(Table1[[#This Row],[YearsAtCompany]]&lt;=6,"4-6","7+")))</f>
        <v>4-6</v>
      </c>
      <c r="AH337">
        <f>Table1[[#This Row],[MonthlyIncome]]*12*0.75</f>
        <v>67113</v>
      </c>
      <c r="AI3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37">
        <f>IF(Table1[[#This Row],[Attrition]]="Yes",Table1[[#This Row],[EstReplacementCost]],0)</f>
        <v>0</v>
      </c>
    </row>
    <row r="338" spans="1:36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50</v>
      </c>
      <c r="P338">
        <v>1</v>
      </c>
      <c r="Q338" t="s">
        <v>48</v>
      </c>
      <c r="R338">
        <v>2119</v>
      </c>
      <c r="S338">
        <v>4759</v>
      </c>
      <c r="T338">
        <v>1</v>
      </c>
      <c r="U338" t="s">
        <v>35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tr">
        <f>IF(Table1[[#This Row],[YearsAtCompany]]&lt;1,"0-1",IF(Table1[[#This Row],[YearsAtCompany]]&lt;=3,"1-3",IF(Table1[[#This Row],[YearsAtCompany]]&lt;=6,"4-6","7+")))</f>
        <v>7+</v>
      </c>
      <c r="AH338">
        <f>Table1[[#This Row],[MonthlyIncome]]*12*0.75</f>
        <v>19071</v>
      </c>
      <c r="AI3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38">
        <f>IF(Table1[[#This Row],[Attrition]]="Yes",Table1[[#This Row],[EstReplacementCost]],0)</f>
        <v>19071</v>
      </c>
    </row>
    <row r="339" spans="1:36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50</v>
      </c>
      <c r="P339">
        <v>4</v>
      </c>
      <c r="Q339" t="s">
        <v>41</v>
      </c>
      <c r="R339">
        <v>3983</v>
      </c>
      <c r="S339">
        <v>7621</v>
      </c>
      <c r="T339">
        <v>0</v>
      </c>
      <c r="U339" t="s">
        <v>43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tr">
        <f>IF(Table1[[#This Row],[YearsAtCompany]]&lt;1,"0-1",IF(Table1[[#This Row],[YearsAtCompany]]&lt;=3,"1-3",IF(Table1[[#This Row],[YearsAtCompany]]&lt;=6,"4-6","7+")))</f>
        <v>1-3</v>
      </c>
      <c r="AH339">
        <f>Table1[[#This Row],[MonthlyIncome]]*12*0.75</f>
        <v>35847</v>
      </c>
      <c r="AI3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39">
        <f>IF(Table1[[#This Row],[Attrition]]="Yes",Table1[[#This Row],[EstReplacementCost]],0)</f>
        <v>0</v>
      </c>
    </row>
    <row r="340" spans="1:36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52</v>
      </c>
      <c r="R340">
        <v>6118</v>
      </c>
      <c r="S340">
        <v>5431</v>
      </c>
      <c r="T340">
        <v>1</v>
      </c>
      <c r="U340" t="s">
        <v>43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tr">
        <f>IF(Table1[[#This Row],[YearsAtCompany]]&lt;1,"0-1",IF(Table1[[#This Row],[YearsAtCompany]]&lt;=3,"1-3",IF(Table1[[#This Row],[YearsAtCompany]]&lt;=6,"4-6","7+")))</f>
        <v>7+</v>
      </c>
      <c r="AH340">
        <f>Table1[[#This Row],[MonthlyIncome]]*12*0.75</f>
        <v>55062</v>
      </c>
      <c r="AI3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40">
        <f>IF(Table1[[#This Row],[Attrition]]="Yes",Table1[[#This Row],[EstReplacementCost]],0)</f>
        <v>0</v>
      </c>
    </row>
    <row r="341" spans="1:36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48</v>
      </c>
      <c r="R341">
        <v>6214</v>
      </c>
      <c r="S341">
        <v>3415</v>
      </c>
      <c r="T341">
        <v>1</v>
      </c>
      <c r="U341" t="s">
        <v>43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tr">
        <f>IF(Table1[[#This Row],[YearsAtCompany]]&lt;1,"0-1",IF(Table1[[#This Row],[YearsAtCompany]]&lt;=3,"1-3",IF(Table1[[#This Row],[YearsAtCompany]]&lt;=6,"4-6","7+")))</f>
        <v>7+</v>
      </c>
      <c r="AH341">
        <f>Table1[[#This Row],[MonthlyIncome]]*12*0.75</f>
        <v>55926</v>
      </c>
      <c r="AI3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41">
        <f>IF(Table1[[#This Row],[Attrition]]="Yes",Table1[[#This Row],[EstReplacementCost]],0)</f>
        <v>0</v>
      </c>
    </row>
    <row r="342" spans="1:36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53</v>
      </c>
      <c r="P342">
        <v>4</v>
      </c>
      <c r="Q342" t="s">
        <v>52</v>
      </c>
      <c r="R342">
        <v>6347</v>
      </c>
      <c r="S342">
        <v>23177</v>
      </c>
      <c r="T342">
        <v>7</v>
      </c>
      <c r="U342" t="s">
        <v>43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tr">
        <f>IF(Table1[[#This Row],[YearsAtCompany]]&lt;1,"0-1",IF(Table1[[#This Row],[YearsAtCompany]]&lt;=3,"1-3",IF(Table1[[#This Row],[YearsAtCompany]]&lt;=6,"4-6","7+")))</f>
        <v>4-6</v>
      </c>
      <c r="AH342">
        <f>Table1[[#This Row],[MonthlyIncome]]*12*0.75</f>
        <v>57123</v>
      </c>
      <c r="AI3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42">
        <f>IF(Table1[[#This Row],[Attrition]]="Yes",Table1[[#This Row],[EstReplacementCost]],0)</f>
        <v>0</v>
      </c>
    </row>
    <row r="343" spans="1:36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58</v>
      </c>
      <c r="P343">
        <v>4</v>
      </c>
      <c r="Q343" t="s">
        <v>52</v>
      </c>
      <c r="R343">
        <v>11510</v>
      </c>
      <c r="S343">
        <v>15682</v>
      </c>
      <c r="T343">
        <v>0</v>
      </c>
      <c r="U343" t="s">
        <v>35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tr">
        <f>IF(Table1[[#This Row],[YearsAtCompany]]&lt;1,"0-1",IF(Table1[[#This Row],[YearsAtCompany]]&lt;=3,"1-3",IF(Table1[[#This Row],[YearsAtCompany]]&lt;=6,"4-6","7+")))</f>
        <v>7+</v>
      </c>
      <c r="AH343">
        <f>Table1[[#This Row],[MonthlyIncome]]*12*0.75</f>
        <v>103590</v>
      </c>
      <c r="AI3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43">
        <f>IF(Table1[[#This Row],[Attrition]]="Yes",Table1[[#This Row],[EstReplacementCost]],0)</f>
        <v>0</v>
      </c>
    </row>
    <row r="344" spans="1:36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53</v>
      </c>
      <c r="P344">
        <v>4</v>
      </c>
      <c r="Q344" t="s">
        <v>41</v>
      </c>
      <c r="R344">
        <v>7143</v>
      </c>
      <c r="S344">
        <v>25713</v>
      </c>
      <c r="T344">
        <v>1</v>
      </c>
      <c r="U344" t="s">
        <v>35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tr">
        <f>IF(Table1[[#This Row],[YearsAtCompany]]&lt;1,"0-1",IF(Table1[[#This Row],[YearsAtCompany]]&lt;=3,"1-3",IF(Table1[[#This Row],[YearsAtCompany]]&lt;=6,"4-6","7+")))</f>
        <v>7+</v>
      </c>
      <c r="AH344">
        <f>Table1[[#This Row],[MonthlyIncome]]*12*0.75</f>
        <v>64287</v>
      </c>
      <c r="AI3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44">
        <f>IF(Table1[[#This Row],[Attrition]]="Yes",Table1[[#This Row],[EstReplacementCost]],0)</f>
        <v>0</v>
      </c>
    </row>
    <row r="345" spans="1:36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52</v>
      </c>
      <c r="R345">
        <v>8268</v>
      </c>
      <c r="S345">
        <v>11866</v>
      </c>
      <c r="T345">
        <v>1</v>
      </c>
      <c r="U345" t="s">
        <v>35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tr">
        <f>IF(Table1[[#This Row],[YearsAtCompany]]&lt;1,"0-1",IF(Table1[[#This Row],[YearsAtCompany]]&lt;=3,"1-3",IF(Table1[[#This Row],[YearsAtCompany]]&lt;=6,"4-6","7+")))</f>
        <v>7+</v>
      </c>
      <c r="AH345">
        <f>Table1[[#This Row],[MonthlyIncome]]*12*0.75</f>
        <v>74412</v>
      </c>
      <c r="AI3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45">
        <f>IF(Table1[[#This Row],[Attrition]]="Yes",Table1[[#This Row],[EstReplacementCost]],0)</f>
        <v>0</v>
      </c>
    </row>
    <row r="346" spans="1:36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53</v>
      </c>
      <c r="P346">
        <v>2</v>
      </c>
      <c r="Q346" t="s">
        <v>41</v>
      </c>
      <c r="R346">
        <v>8095</v>
      </c>
      <c r="S346">
        <v>18264</v>
      </c>
      <c r="T346">
        <v>0</v>
      </c>
      <c r="U346" t="s">
        <v>43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tr">
        <f>IF(Table1[[#This Row],[YearsAtCompany]]&lt;1,"0-1",IF(Table1[[#This Row],[YearsAtCompany]]&lt;=3,"1-3",IF(Table1[[#This Row],[YearsAtCompany]]&lt;=6,"4-6","7+")))</f>
        <v>7+</v>
      </c>
      <c r="AH346">
        <f>Table1[[#This Row],[MonthlyIncome]]*12*0.75</f>
        <v>72855</v>
      </c>
      <c r="AI3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46">
        <f>IF(Table1[[#This Row],[Attrition]]="Yes",Table1[[#This Row],[EstReplacementCost]],0)</f>
        <v>0</v>
      </c>
    </row>
    <row r="347" spans="1:36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47</v>
      </c>
      <c r="P347">
        <v>4</v>
      </c>
      <c r="Q347" t="s">
        <v>52</v>
      </c>
      <c r="R347">
        <v>2904</v>
      </c>
      <c r="S347">
        <v>16092</v>
      </c>
      <c r="T347">
        <v>1</v>
      </c>
      <c r="U347" t="s">
        <v>43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tr">
        <f>IF(Table1[[#This Row],[YearsAtCompany]]&lt;1,"0-1",IF(Table1[[#This Row],[YearsAtCompany]]&lt;=3,"1-3",IF(Table1[[#This Row],[YearsAtCompany]]&lt;=6,"4-6","7+")))</f>
        <v>4-6</v>
      </c>
      <c r="AH347">
        <f>Table1[[#This Row],[MonthlyIncome]]*12*0.75</f>
        <v>26136</v>
      </c>
      <c r="AI3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47">
        <f>IF(Table1[[#This Row],[Attrition]]="Yes",Table1[[#This Row],[EstReplacementCost]],0)</f>
        <v>0</v>
      </c>
    </row>
    <row r="348" spans="1:36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53</v>
      </c>
      <c r="P348">
        <v>2</v>
      </c>
      <c r="Q348" t="s">
        <v>41</v>
      </c>
      <c r="R348">
        <v>6032</v>
      </c>
      <c r="S348">
        <v>10110</v>
      </c>
      <c r="T348">
        <v>6</v>
      </c>
      <c r="U348" t="s">
        <v>35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tr">
        <f>IF(Table1[[#This Row],[YearsAtCompany]]&lt;1,"0-1",IF(Table1[[#This Row],[YearsAtCompany]]&lt;=3,"1-3",IF(Table1[[#This Row],[YearsAtCompany]]&lt;=6,"4-6","7+")))</f>
        <v>4-6</v>
      </c>
      <c r="AH348">
        <f>Table1[[#This Row],[MonthlyIncome]]*12*0.75</f>
        <v>54288</v>
      </c>
      <c r="AI3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48">
        <f>IF(Table1[[#This Row],[Attrition]]="Yes",Table1[[#This Row],[EstReplacementCost]],0)</f>
        <v>0</v>
      </c>
    </row>
    <row r="349" spans="1:36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57</v>
      </c>
      <c r="P349">
        <v>3</v>
      </c>
      <c r="Q349" t="s">
        <v>41</v>
      </c>
      <c r="R349">
        <v>2976</v>
      </c>
      <c r="S349">
        <v>25751</v>
      </c>
      <c r="T349">
        <v>3</v>
      </c>
      <c r="U349" t="s">
        <v>43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tr">
        <f>IF(Table1[[#This Row],[YearsAtCompany]]&lt;1,"0-1",IF(Table1[[#This Row],[YearsAtCompany]]&lt;=3,"1-3",IF(Table1[[#This Row],[YearsAtCompany]]&lt;=6,"4-6","7+")))</f>
        <v>0-1</v>
      </c>
      <c r="AH349">
        <f>Table1[[#This Row],[MonthlyIncome]]*12*0.75</f>
        <v>26784</v>
      </c>
      <c r="AI3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49">
        <f>IF(Table1[[#This Row],[Attrition]]="Yes",Table1[[#This Row],[EstReplacementCost]],0)</f>
        <v>0</v>
      </c>
    </row>
    <row r="350" spans="1:36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58</v>
      </c>
      <c r="P350">
        <v>4</v>
      </c>
      <c r="Q350" t="s">
        <v>41</v>
      </c>
      <c r="R350">
        <v>15992</v>
      </c>
      <c r="S350">
        <v>15901</v>
      </c>
      <c r="T350">
        <v>2</v>
      </c>
      <c r="U350" t="s">
        <v>43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tr">
        <f>IF(Table1[[#This Row],[YearsAtCompany]]&lt;1,"0-1",IF(Table1[[#This Row],[YearsAtCompany]]&lt;=3,"1-3",IF(Table1[[#This Row],[YearsAtCompany]]&lt;=6,"4-6","7+")))</f>
        <v>1-3</v>
      </c>
      <c r="AH350">
        <f>Table1[[#This Row],[MonthlyIncome]]*12*0.75</f>
        <v>143928</v>
      </c>
      <c r="AI3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50">
        <f>IF(Table1[[#This Row],[Attrition]]="Yes",Table1[[#This Row],[EstReplacementCost]],0)</f>
        <v>0</v>
      </c>
    </row>
    <row r="351" spans="1:36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48</v>
      </c>
      <c r="R351">
        <v>4649</v>
      </c>
      <c r="S351">
        <v>16928</v>
      </c>
      <c r="T351">
        <v>1</v>
      </c>
      <c r="U351" t="s">
        <v>43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tr">
        <f>IF(Table1[[#This Row],[YearsAtCompany]]&lt;1,"0-1",IF(Table1[[#This Row],[YearsAtCompany]]&lt;=3,"1-3",IF(Table1[[#This Row],[YearsAtCompany]]&lt;=6,"4-6","7+")))</f>
        <v>4-6</v>
      </c>
      <c r="AH351">
        <f>Table1[[#This Row],[MonthlyIncome]]*12*0.75</f>
        <v>41841</v>
      </c>
      <c r="AI3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51">
        <f>IF(Table1[[#This Row],[Attrition]]="Yes",Table1[[#This Row],[EstReplacementCost]],0)</f>
        <v>0</v>
      </c>
    </row>
    <row r="352" spans="1:36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61</v>
      </c>
      <c r="P352">
        <v>3</v>
      </c>
      <c r="Q352" t="s">
        <v>52</v>
      </c>
      <c r="R352">
        <v>2696</v>
      </c>
      <c r="S352">
        <v>24017</v>
      </c>
      <c r="T352">
        <v>0</v>
      </c>
      <c r="U352" t="s">
        <v>35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tr">
        <f>IF(Table1[[#This Row],[YearsAtCompany]]&lt;1,"0-1",IF(Table1[[#This Row],[YearsAtCompany]]&lt;=3,"1-3",IF(Table1[[#This Row],[YearsAtCompany]]&lt;=6,"4-6","7+")))</f>
        <v>1-3</v>
      </c>
      <c r="AH352">
        <f>Table1[[#This Row],[MonthlyIncome]]*12*0.75</f>
        <v>24264</v>
      </c>
      <c r="AI3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52">
        <f>IF(Table1[[#This Row],[Attrition]]="Yes",Table1[[#This Row],[EstReplacementCost]],0)</f>
        <v>0</v>
      </c>
    </row>
    <row r="353" spans="1:36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50</v>
      </c>
      <c r="P353">
        <v>2</v>
      </c>
      <c r="Q353" t="s">
        <v>48</v>
      </c>
      <c r="R353">
        <v>2370</v>
      </c>
      <c r="S353">
        <v>3956</v>
      </c>
      <c r="T353">
        <v>1</v>
      </c>
      <c r="U353" t="s">
        <v>43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tr">
        <f>IF(Table1[[#This Row],[YearsAtCompany]]&lt;1,"0-1",IF(Table1[[#This Row],[YearsAtCompany]]&lt;=3,"1-3",IF(Table1[[#This Row],[YearsAtCompany]]&lt;=6,"4-6","7+")))</f>
        <v>7+</v>
      </c>
      <c r="AH353">
        <f>Table1[[#This Row],[MonthlyIncome]]*12*0.75</f>
        <v>21330</v>
      </c>
      <c r="AI3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53">
        <f>IF(Table1[[#This Row],[Attrition]]="Yes",Table1[[#This Row],[EstReplacementCost]],0)</f>
        <v>0</v>
      </c>
    </row>
    <row r="354" spans="1:36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56</v>
      </c>
      <c r="P354">
        <v>3</v>
      </c>
      <c r="Q354" t="s">
        <v>48</v>
      </c>
      <c r="R354">
        <v>12504</v>
      </c>
      <c r="S354">
        <v>23978</v>
      </c>
      <c r="T354">
        <v>3</v>
      </c>
      <c r="U354" t="s">
        <v>43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tr">
        <f>IF(Table1[[#This Row],[YearsAtCompany]]&lt;1,"0-1",IF(Table1[[#This Row],[YearsAtCompany]]&lt;=3,"1-3",IF(Table1[[#This Row],[YearsAtCompany]]&lt;=6,"4-6","7+")))</f>
        <v>0-1</v>
      </c>
      <c r="AH354">
        <f>Table1[[#This Row],[MonthlyIncome]]*12*0.75</f>
        <v>112536</v>
      </c>
      <c r="AI3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54">
        <f>IF(Table1[[#This Row],[Attrition]]="Yes",Table1[[#This Row],[EstReplacementCost]],0)</f>
        <v>0</v>
      </c>
    </row>
    <row r="355" spans="1:36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47</v>
      </c>
      <c r="P355">
        <v>1</v>
      </c>
      <c r="Q355" t="s">
        <v>52</v>
      </c>
      <c r="R355">
        <v>5974</v>
      </c>
      <c r="S355">
        <v>17001</v>
      </c>
      <c r="T355">
        <v>4</v>
      </c>
      <c r="U355" t="s">
        <v>35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tr">
        <f>IF(Table1[[#This Row],[YearsAtCompany]]&lt;1,"0-1",IF(Table1[[#This Row],[YearsAtCompany]]&lt;=3,"1-3",IF(Table1[[#This Row],[YearsAtCompany]]&lt;=6,"4-6","7+")))</f>
        <v>7+</v>
      </c>
      <c r="AH355">
        <f>Table1[[#This Row],[MonthlyIncome]]*12*0.75</f>
        <v>53766</v>
      </c>
      <c r="AI3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55">
        <f>IF(Table1[[#This Row],[Attrition]]="Yes",Table1[[#This Row],[EstReplacementCost]],0)</f>
        <v>0</v>
      </c>
    </row>
    <row r="356" spans="1:36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48</v>
      </c>
      <c r="R356">
        <v>4736</v>
      </c>
      <c r="S356">
        <v>6069</v>
      </c>
      <c r="T356">
        <v>7</v>
      </c>
      <c r="U356" t="s">
        <v>35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tr">
        <f>IF(Table1[[#This Row],[YearsAtCompany]]&lt;1,"0-1",IF(Table1[[#This Row],[YearsAtCompany]]&lt;=3,"1-3",IF(Table1[[#This Row],[YearsAtCompany]]&lt;=6,"4-6","7+")))</f>
        <v>1-3</v>
      </c>
      <c r="AH356">
        <f>Table1[[#This Row],[MonthlyIncome]]*12*0.75</f>
        <v>42624</v>
      </c>
      <c r="AI3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56">
        <f>IF(Table1[[#This Row],[Attrition]]="Yes",Table1[[#This Row],[EstReplacementCost]],0)</f>
        <v>0</v>
      </c>
    </row>
    <row r="357" spans="1:36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48</v>
      </c>
      <c r="R357">
        <v>5296</v>
      </c>
      <c r="S357">
        <v>20156</v>
      </c>
      <c r="T357">
        <v>1</v>
      </c>
      <c r="U357" t="s">
        <v>43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tr">
        <f>IF(Table1[[#This Row],[YearsAtCompany]]&lt;1,"0-1",IF(Table1[[#This Row],[YearsAtCompany]]&lt;=3,"1-3",IF(Table1[[#This Row],[YearsAtCompany]]&lt;=6,"4-6","7+")))</f>
        <v>7+</v>
      </c>
      <c r="AH357">
        <f>Table1[[#This Row],[MonthlyIncome]]*12*0.75</f>
        <v>47664</v>
      </c>
      <c r="AI3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57">
        <f>IF(Table1[[#This Row],[Attrition]]="Yes",Table1[[#This Row],[EstReplacementCost]],0)</f>
        <v>0</v>
      </c>
    </row>
    <row r="358" spans="1:36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54</v>
      </c>
      <c r="P358">
        <v>4</v>
      </c>
      <c r="Q358" t="s">
        <v>41</v>
      </c>
      <c r="R358">
        <v>6781</v>
      </c>
      <c r="S358">
        <v>17078</v>
      </c>
      <c r="T358">
        <v>3</v>
      </c>
      <c r="U358" t="s">
        <v>43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tr">
        <f>IF(Table1[[#This Row],[YearsAtCompany]]&lt;1,"0-1",IF(Table1[[#This Row],[YearsAtCompany]]&lt;=3,"1-3",IF(Table1[[#This Row],[YearsAtCompany]]&lt;=6,"4-6","7+")))</f>
        <v>1-3</v>
      </c>
      <c r="AH358">
        <f>Table1[[#This Row],[MonthlyIncome]]*12*0.75</f>
        <v>61029</v>
      </c>
      <c r="AI3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58">
        <f>IF(Table1[[#This Row],[Attrition]]="Yes",Table1[[#This Row],[EstReplacementCost]],0)</f>
        <v>0</v>
      </c>
    </row>
    <row r="359" spans="1:36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57</v>
      </c>
      <c r="P359">
        <v>2</v>
      </c>
      <c r="Q359" t="s">
        <v>41</v>
      </c>
      <c r="R359">
        <v>2174</v>
      </c>
      <c r="S359">
        <v>9150</v>
      </c>
      <c r="T359">
        <v>1</v>
      </c>
      <c r="U359" t="s">
        <v>35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tr">
        <f>IF(Table1[[#This Row],[YearsAtCompany]]&lt;1,"0-1",IF(Table1[[#This Row],[YearsAtCompany]]&lt;=3,"1-3",IF(Table1[[#This Row],[YearsAtCompany]]&lt;=6,"4-6","7+")))</f>
        <v>1-3</v>
      </c>
      <c r="AH359">
        <f>Table1[[#This Row],[MonthlyIncome]]*12*0.75</f>
        <v>19566</v>
      </c>
      <c r="AI3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359">
        <f>IF(Table1[[#This Row],[Attrition]]="Yes",Table1[[#This Row],[EstReplacementCost]],0)</f>
        <v>19566</v>
      </c>
    </row>
    <row r="360" spans="1:36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>
        <v>6653</v>
      </c>
      <c r="S360">
        <v>15276</v>
      </c>
      <c r="T360">
        <v>4</v>
      </c>
      <c r="U360" t="s">
        <v>43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tr">
        <f>IF(Table1[[#This Row],[YearsAtCompany]]&lt;1,"0-1",IF(Table1[[#This Row],[YearsAtCompany]]&lt;=3,"1-3",IF(Table1[[#This Row],[YearsAtCompany]]&lt;=6,"4-6","7+")))</f>
        <v>1-3</v>
      </c>
      <c r="AH360">
        <f>Table1[[#This Row],[MonthlyIncome]]*12*0.75</f>
        <v>59877</v>
      </c>
      <c r="AI3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60">
        <f>IF(Table1[[#This Row],[Attrition]]="Yes",Table1[[#This Row],[EstReplacementCost]],0)</f>
        <v>0</v>
      </c>
    </row>
    <row r="361" spans="1:36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48</v>
      </c>
      <c r="R361">
        <v>9699</v>
      </c>
      <c r="S361">
        <v>7246</v>
      </c>
      <c r="T361">
        <v>4</v>
      </c>
      <c r="U361" t="s">
        <v>43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tr">
        <f>IF(Table1[[#This Row],[YearsAtCompany]]&lt;1,"0-1",IF(Table1[[#This Row],[YearsAtCompany]]&lt;=3,"1-3",IF(Table1[[#This Row],[YearsAtCompany]]&lt;=6,"4-6","7+")))</f>
        <v>7+</v>
      </c>
      <c r="AH361">
        <f>Table1[[#This Row],[MonthlyIncome]]*12*0.75</f>
        <v>87291</v>
      </c>
      <c r="AI3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61">
        <f>IF(Table1[[#This Row],[Attrition]]="Yes",Table1[[#This Row],[EstReplacementCost]],0)</f>
        <v>0</v>
      </c>
    </row>
    <row r="362" spans="1:36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54</v>
      </c>
      <c r="P362">
        <v>3</v>
      </c>
      <c r="Q362" t="s">
        <v>48</v>
      </c>
      <c r="R362">
        <v>6755</v>
      </c>
      <c r="S362">
        <v>2967</v>
      </c>
      <c r="T362">
        <v>2</v>
      </c>
      <c r="U362" t="s">
        <v>43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tr">
        <f>IF(Table1[[#This Row],[YearsAtCompany]]&lt;1,"0-1",IF(Table1[[#This Row],[YearsAtCompany]]&lt;=3,"1-3",IF(Table1[[#This Row],[YearsAtCompany]]&lt;=6,"4-6","7+")))</f>
        <v>1-3</v>
      </c>
      <c r="AH362">
        <f>Table1[[#This Row],[MonthlyIncome]]*12*0.75</f>
        <v>60795</v>
      </c>
      <c r="AI3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62">
        <f>IF(Table1[[#This Row],[Attrition]]="Yes",Table1[[#This Row],[EstReplacementCost]],0)</f>
        <v>0</v>
      </c>
    </row>
    <row r="363" spans="1:36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50</v>
      </c>
      <c r="P363">
        <v>3</v>
      </c>
      <c r="Q363" t="s">
        <v>48</v>
      </c>
      <c r="R363">
        <v>2213</v>
      </c>
      <c r="S363">
        <v>22495</v>
      </c>
      <c r="T363">
        <v>3</v>
      </c>
      <c r="U363" t="s">
        <v>35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tr">
        <f>IF(Table1[[#This Row],[YearsAtCompany]]&lt;1,"0-1",IF(Table1[[#This Row],[YearsAtCompany]]&lt;=3,"1-3",IF(Table1[[#This Row],[YearsAtCompany]]&lt;=6,"4-6","7+")))</f>
        <v>7+</v>
      </c>
      <c r="AH363">
        <f>Table1[[#This Row],[MonthlyIncome]]*12*0.75</f>
        <v>19917</v>
      </c>
      <c r="AI3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63">
        <f>IF(Table1[[#This Row],[Attrition]]="Yes",Table1[[#This Row],[EstReplacementCost]],0)</f>
        <v>0</v>
      </c>
    </row>
    <row r="364" spans="1:36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57</v>
      </c>
      <c r="P364">
        <v>4</v>
      </c>
      <c r="Q364" t="s">
        <v>41</v>
      </c>
      <c r="R364">
        <v>2610</v>
      </c>
      <c r="S364">
        <v>2851</v>
      </c>
      <c r="T364">
        <v>1</v>
      </c>
      <c r="U364" t="s">
        <v>43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tr">
        <f>IF(Table1[[#This Row],[YearsAtCompany]]&lt;1,"0-1",IF(Table1[[#This Row],[YearsAtCompany]]&lt;=3,"1-3",IF(Table1[[#This Row],[YearsAtCompany]]&lt;=6,"4-6","7+")))</f>
        <v>1-3</v>
      </c>
      <c r="AH364">
        <f>Table1[[#This Row],[MonthlyIncome]]*12*0.75</f>
        <v>23490</v>
      </c>
      <c r="AI3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64">
        <f>IF(Table1[[#This Row],[Attrition]]="Yes",Table1[[#This Row],[EstReplacementCost]],0)</f>
        <v>0</v>
      </c>
    </row>
    <row r="365" spans="1:36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57</v>
      </c>
      <c r="P365">
        <v>3</v>
      </c>
      <c r="Q365" t="s">
        <v>41</v>
      </c>
      <c r="R365">
        <v>2851</v>
      </c>
      <c r="S365">
        <v>9150</v>
      </c>
      <c r="T365">
        <v>1</v>
      </c>
      <c r="U365" t="s">
        <v>35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tr">
        <f>IF(Table1[[#This Row],[YearsAtCompany]]&lt;1,"0-1",IF(Table1[[#This Row],[YearsAtCompany]]&lt;=3,"1-3",IF(Table1[[#This Row],[YearsAtCompany]]&lt;=6,"4-6","7+")))</f>
        <v>1-3</v>
      </c>
      <c r="AH365">
        <f>Table1[[#This Row],[MonthlyIncome]]*12*0.75</f>
        <v>25659</v>
      </c>
      <c r="AI3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65">
        <f>IF(Table1[[#This Row],[Attrition]]="Yes",Table1[[#This Row],[EstReplacementCost]],0)</f>
        <v>25659</v>
      </c>
    </row>
    <row r="366" spans="1:36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50</v>
      </c>
      <c r="P366">
        <v>1</v>
      </c>
      <c r="Q366" t="s">
        <v>48</v>
      </c>
      <c r="R366">
        <v>3452</v>
      </c>
      <c r="S366">
        <v>17663</v>
      </c>
      <c r="T366">
        <v>6</v>
      </c>
      <c r="U366" t="s">
        <v>43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tr">
        <f>IF(Table1[[#This Row],[YearsAtCompany]]&lt;1,"0-1",IF(Table1[[#This Row],[YearsAtCompany]]&lt;=3,"1-3",IF(Table1[[#This Row],[YearsAtCompany]]&lt;=6,"4-6","7+")))</f>
        <v>4-6</v>
      </c>
      <c r="AH366">
        <f>Table1[[#This Row],[MonthlyIncome]]*12*0.75</f>
        <v>31068</v>
      </c>
      <c r="AI3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66">
        <f>IF(Table1[[#This Row],[Attrition]]="Yes",Table1[[#This Row],[EstReplacementCost]],0)</f>
        <v>0</v>
      </c>
    </row>
    <row r="367" spans="1:36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53</v>
      </c>
      <c r="P367">
        <v>3</v>
      </c>
      <c r="Q367" t="s">
        <v>48</v>
      </c>
      <c r="R367">
        <v>5258</v>
      </c>
      <c r="S367">
        <v>16044</v>
      </c>
      <c r="T367">
        <v>2</v>
      </c>
      <c r="U367" t="s">
        <v>43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tr">
        <f>IF(Table1[[#This Row],[YearsAtCompany]]&lt;1,"0-1",IF(Table1[[#This Row],[YearsAtCompany]]&lt;=3,"1-3",IF(Table1[[#This Row],[YearsAtCompany]]&lt;=6,"4-6","7+")))</f>
        <v>1-3</v>
      </c>
      <c r="AH367">
        <f>Table1[[#This Row],[MonthlyIncome]]*12*0.75</f>
        <v>47322</v>
      </c>
      <c r="AI3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67">
        <f>IF(Table1[[#This Row],[Attrition]]="Yes",Table1[[#This Row],[EstReplacementCost]],0)</f>
        <v>0</v>
      </c>
    </row>
    <row r="368" spans="1:36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>
        <v>9355</v>
      </c>
      <c r="S368">
        <v>9558</v>
      </c>
      <c r="T368">
        <v>1</v>
      </c>
      <c r="U368" t="s">
        <v>43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tr">
        <f>IF(Table1[[#This Row],[YearsAtCompany]]&lt;1,"0-1",IF(Table1[[#This Row],[YearsAtCompany]]&lt;=3,"1-3",IF(Table1[[#This Row],[YearsAtCompany]]&lt;=6,"4-6","7+")))</f>
        <v>7+</v>
      </c>
      <c r="AH368">
        <f>Table1[[#This Row],[MonthlyIncome]]*12*0.75</f>
        <v>84195</v>
      </c>
      <c r="AI3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68">
        <f>IF(Table1[[#This Row],[Attrition]]="Yes",Table1[[#This Row],[EstReplacementCost]],0)</f>
        <v>84195</v>
      </c>
    </row>
    <row r="369" spans="1:36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54</v>
      </c>
      <c r="P369">
        <v>4</v>
      </c>
      <c r="Q369" t="s">
        <v>41</v>
      </c>
      <c r="R369">
        <v>10496</v>
      </c>
      <c r="S369">
        <v>2755</v>
      </c>
      <c r="T369">
        <v>6</v>
      </c>
      <c r="U369" t="s">
        <v>43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tr">
        <f>IF(Table1[[#This Row],[YearsAtCompany]]&lt;1,"0-1",IF(Table1[[#This Row],[YearsAtCompany]]&lt;=3,"1-3",IF(Table1[[#This Row],[YearsAtCompany]]&lt;=6,"4-6","7+")))</f>
        <v>4-6</v>
      </c>
      <c r="AH369">
        <f>Table1[[#This Row],[MonthlyIncome]]*12*0.75</f>
        <v>94464</v>
      </c>
      <c r="AI3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69">
        <f>IF(Table1[[#This Row],[Attrition]]="Yes",Table1[[#This Row],[EstReplacementCost]],0)</f>
        <v>0</v>
      </c>
    </row>
    <row r="370" spans="1:36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48</v>
      </c>
      <c r="R370">
        <v>6380</v>
      </c>
      <c r="S370">
        <v>6110</v>
      </c>
      <c r="T370">
        <v>2</v>
      </c>
      <c r="U370" t="s">
        <v>35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tr">
        <f>IF(Table1[[#This Row],[YearsAtCompany]]&lt;1,"0-1",IF(Table1[[#This Row],[YearsAtCompany]]&lt;=3,"1-3",IF(Table1[[#This Row],[YearsAtCompany]]&lt;=6,"4-6","7+")))</f>
        <v>4-6</v>
      </c>
      <c r="AH370">
        <f>Table1[[#This Row],[MonthlyIncome]]*12*0.75</f>
        <v>57420</v>
      </c>
      <c r="AI3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70">
        <f>IF(Table1[[#This Row],[Attrition]]="Yes",Table1[[#This Row],[EstReplacementCost]],0)</f>
        <v>57420</v>
      </c>
    </row>
    <row r="371" spans="1:36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47</v>
      </c>
      <c r="P371">
        <v>2</v>
      </c>
      <c r="Q371" t="s">
        <v>41</v>
      </c>
      <c r="R371">
        <v>2657</v>
      </c>
      <c r="S371">
        <v>7551</v>
      </c>
      <c r="T371">
        <v>0</v>
      </c>
      <c r="U371" t="s">
        <v>35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tr">
        <f>IF(Table1[[#This Row],[YearsAtCompany]]&lt;1,"0-1",IF(Table1[[#This Row],[YearsAtCompany]]&lt;=3,"1-3",IF(Table1[[#This Row],[YearsAtCompany]]&lt;=6,"4-6","7+")))</f>
        <v>1-3</v>
      </c>
      <c r="AH371">
        <f>Table1[[#This Row],[MonthlyIncome]]*12*0.75</f>
        <v>23913</v>
      </c>
      <c r="AI3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371">
        <f>IF(Table1[[#This Row],[Attrition]]="Yes",Table1[[#This Row],[EstReplacementCost]],0)</f>
        <v>0</v>
      </c>
    </row>
    <row r="372" spans="1:36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57</v>
      </c>
      <c r="P372">
        <v>2</v>
      </c>
      <c r="Q372" t="s">
        <v>41</v>
      </c>
      <c r="R372">
        <v>2716</v>
      </c>
      <c r="S372">
        <v>25422</v>
      </c>
      <c r="T372">
        <v>1</v>
      </c>
      <c r="U372" t="s">
        <v>43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tr">
        <f>IF(Table1[[#This Row],[YearsAtCompany]]&lt;1,"0-1",IF(Table1[[#This Row],[YearsAtCompany]]&lt;=3,"1-3",IF(Table1[[#This Row],[YearsAtCompany]]&lt;=6,"4-6","7+")))</f>
        <v>1-3</v>
      </c>
      <c r="AH372">
        <f>Table1[[#This Row],[MonthlyIncome]]*12*0.75</f>
        <v>24444</v>
      </c>
      <c r="AI3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72">
        <f>IF(Table1[[#This Row],[Attrition]]="Yes",Table1[[#This Row],[EstReplacementCost]],0)</f>
        <v>24444</v>
      </c>
    </row>
    <row r="373" spans="1:36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47</v>
      </c>
      <c r="P373">
        <v>4</v>
      </c>
      <c r="Q373" t="s">
        <v>41</v>
      </c>
      <c r="R373">
        <v>2201</v>
      </c>
      <c r="S373">
        <v>18168</v>
      </c>
      <c r="T373">
        <v>9</v>
      </c>
      <c r="U373" t="s">
        <v>43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tr">
        <f>IF(Table1[[#This Row],[YearsAtCompany]]&lt;1,"0-1",IF(Table1[[#This Row],[YearsAtCompany]]&lt;=3,"1-3",IF(Table1[[#This Row],[YearsAtCompany]]&lt;=6,"4-6","7+")))</f>
        <v>1-3</v>
      </c>
      <c r="AH373">
        <f>Table1[[#This Row],[MonthlyIncome]]*12*0.75</f>
        <v>19809</v>
      </c>
      <c r="AI3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73">
        <f>IF(Table1[[#This Row],[Attrition]]="Yes",Table1[[#This Row],[EstReplacementCost]],0)</f>
        <v>0</v>
      </c>
    </row>
    <row r="374" spans="1:36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54</v>
      </c>
      <c r="P374">
        <v>2</v>
      </c>
      <c r="Q374" t="s">
        <v>41</v>
      </c>
      <c r="R374">
        <v>6540</v>
      </c>
      <c r="S374">
        <v>19394</v>
      </c>
      <c r="T374">
        <v>9</v>
      </c>
      <c r="U374" t="s">
        <v>43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tr">
        <f>IF(Table1[[#This Row],[YearsAtCompany]]&lt;1,"0-1",IF(Table1[[#This Row],[YearsAtCompany]]&lt;=3,"1-3",IF(Table1[[#This Row],[YearsAtCompany]]&lt;=6,"4-6","7+")))</f>
        <v>1-3</v>
      </c>
      <c r="AH374">
        <f>Table1[[#This Row],[MonthlyIncome]]*12*0.75</f>
        <v>58860</v>
      </c>
      <c r="AI3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74">
        <f>IF(Table1[[#This Row],[Attrition]]="Yes",Table1[[#This Row],[EstReplacementCost]],0)</f>
        <v>0</v>
      </c>
    </row>
    <row r="375" spans="1:36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50</v>
      </c>
      <c r="P375">
        <v>2</v>
      </c>
      <c r="Q375" t="s">
        <v>52</v>
      </c>
      <c r="R375">
        <v>3816</v>
      </c>
      <c r="S375">
        <v>17881</v>
      </c>
      <c r="T375">
        <v>1</v>
      </c>
      <c r="U375" t="s">
        <v>43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tr">
        <f>IF(Table1[[#This Row],[YearsAtCompany]]&lt;1,"0-1",IF(Table1[[#This Row],[YearsAtCompany]]&lt;=3,"1-3",IF(Table1[[#This Row],[YearsAtCompany]]&lt;=6,"4-6","7+")))</f>
        <v>4-6</v>
      </c>
      <c r="AH375">
        <f>Table1[[#This Row],[MonthlyIncome]]*12*0.75</f>
        <v>34344</v>
      </c>
      <c r="AI3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75">
        <f>IF(Table1[[#This Row],[Attrition]]="Yes",Table1[[#This Row],[EstReplacementCost]],0)</f>
        <v>0</v>
      </c>
    </row>
    <row r="376" spans="1:36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>
        <v>5253</v>
      </c>
      <c r="S376">
        <v>20750</v>
      </c>
      <c r="T376">
        <v>1</v>
      </c>
      <c r="U376" t="s">
        <v>43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tr">
        <f>IF(Table1[[#This Row],[YearsAtCompany]]&lt;1,"0-1",IF(Table1[[#This Row],[YearsAtCompany]]&lt;=3,"1-3",IF(Table1[[#This Row],[YearsAtCompany]]&lt;=6,"4-6","7+")))</f>
        <v>7+</v>
      </c>
      <c r="AH376">
        <f>Table1[[#This Row],[MonthlyIncome]]*12*0.75</f>
        <v>47277</v>
      </c>
      <c r="AI3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76">
        <f>IF(Table1[[#This Row],[Attrition]]="Yes",Table1[[#This Row],[EstReplacementCost]],0)</f>
        <v>0</v>
      </c>
    </row>
    <row r="377" spans="1:36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54</v>
      </c>
      <c r="P377">
        <v>3</v>
      </c>
      <c r="Q377" t="s">
        <v>41</v>
      </c>
      <c r="R377">
        <v>10965</v>
      </c>
      <c r="S377">
        <v>12066</v>
      </c>
      <c r="T377">
        <v>8</v>
      </c>
      <c r="U377" t="s">
        <v>43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tr">
        <f>IF(Table1[[#This Row],[YearsAtCompany]]&lt;1,"0-1",IF(Table1[[#This Row],[YearsAtCompany]]&lt;=3,"1-3",IF(Table1[[#This Row],[YearsAtCompany]]&lt;=6,"4-6","7+")))</f>
        <v>4-6</v>
      </c>
      <c r="AH377">
        <f>Table1[[#This Row],[MonthlyIncome]]*12*0.75</f>
        <v>98685</v>
      </c>
      <c r="AI3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77">
        <f>IF(Table1[[#This Row],[Attrition]]="Yes",Table1[[#This Row],[EstReplacementCost]],0)</f>
        <v>0</v>
      </c>
    </row>
    <row r="378" spans="1:36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48</v>
      </c>
      <c r="R378">
        <v>4936</v>
      </c>
      <c r="S378">
        <v>14862</v>
      </c>
      <c r="T378">
        <v>4</v>
      </c>
      <c r="U378" t="s">
        <v>43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tr">
        <f>IF(Table1[[#This Row],[YearsAtCompany]]&lt;1,"0-1",IF(Table1[[#This Row],[YearsAtCompany]]&lt;=3,"1-3",IF(Table1[[#This Row],[YearsAtCompany]]&lt;=6,"4-6","7+")))</f>
        <v>7+</v>
      </c>
      <c r="AH378">
        <f>Table1[[#This Row],[MonthlyIncome]]*12*0.75</f>
        <v>44424</v>
      </c>
      <c r="AI3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78">
        <f>IF(Table1[[#This Row],[Attrition]]="Yes",Table1[[#This Row],[EstReplacementCost]],0)</f>
        <v>0</v>
      </c>
    </row>
    <row r="379" spans="1:36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47</v>
      </c>
      <c r="P379">
        <v>3</v>
      </c>
      <c r="Q379" t="s">
        <v>48</v>
      </c>
      <c r="R379">
        <v>2543</v>
      </c>
      <c r="S379">
        <v>11868</v>
      </c>
      <c r="T379">
        <v>4</v>
      </c>
      <c r="U379" t="s">
        <v>43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tr">
        <f>IF(Table1[[#This Row],[YearsAtCompany]]&lt;1,"0-1",IF(Table1[[#This Row],[YearsAtCompany]]&lt;=3,"1-3",IF(Table1[[#This Row],[YearsAtCompany]]&lt;=6,"4-6","7+")))</f>
        <v>1-3</v>
      </c>
      <c r="AH379">
        <f>Table1[[#This Row],[MonthlyIncome]]*12*0.75</f>
        <v>22887</v>
      </c>
      <c r="AI3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79">
        <f>IF(Table1[[#This Row],[Attrition]]="Yes",Table1[[#This Row],[EstReplacementCost]],0)</f>
        <v>0</v>
      </c>
    </row>
    <row r="380" spans="1:36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>
        <v>5304</v>
      </c>
      <c r="S380">
        <v>4652</v>
      </c>
      <c r="T380">
        <v>8</v>
      </c>
      <c r="U380" t="s">
        <v>35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tr">
        <f>IF(Table1[[#This Row],[YearsAtCompany]]&lt;1,"0-1",IF(Table1[[#This Row],[YearsAtCompany]]&lt;=3,"1-3",IF(Table1[[#This Row],[YearsAtCompany]]&lt;=6,"4-6","7+")))</f>
        <v>4-6</v>
      </c>
      <c r="AH380">
        <f>Table1[[#This Row],[MonthlyIncome]]*12*0.75</f>
        <v>47736</v>
      </c>
      <c r="AI3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80">
        <f>IF(Table1[[#This Row],[Attrition]]="Yes",Table1[[#This Row],[EstReplacementCost]],0)</f>
        <v>47736</v>
      </c>
    </row>
    <row r="381" spans="1:36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56</v>
      </c>
      <c r="P381">
        <v>4</v>
      </c>
      <c r="Q381" t="s">
        <v>41</v>
      </c>
      <c r="R381">
        <v>16659</v>
      </c>
      <c r="S381">
        <v>23258</v>
      </c>
      <c r="T381">
        <v>2</v>
      </c>
      <c r="U381" t="s">
        <v>35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tr">
        <f>IF(Table1[[#This Row],[YearsAtCompany]]&lt;1,"0-1",IF(Table1[[#This Row],[YearsAtCompany]]&lt;=3,"1-3",IF(Table1[[#This Row],[YearsAtCompany]]&lt;=6,"4-6","7+")))</f>
        <v>4-6</v>
      </c>
      <c r="AH381">
        <f>Table1[[#This Row],[MonthlyIncome]]*12*0.75</f>
        <v>149931</v>
      </c>
      <c r="AI3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81">
        <f>IF(Table1[[#This Row],[Attrition]]="Yes",Table1[[#This Row],[EstReplacementCost]],0)</f>
        <v>0</v>
      </c>
    </row>
    <row r="382" spans="1:36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52</v>
      </c>
      <c r="R382">
        <v>4260</v>
      </c>
      <c r="S382">
        <v>5915</v>
      </c>
      <c r="T382">
        <v>1</v>
      </c>
      <c r="U382" t="s">
        <v>35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tr">
        <f>IF(Table1[[#This Row],[YearsAtCompany]]&lt;1,"0-1",IF(Table1[[#This Row],[YearsAtCompany]]&lt;=3,"1-3",IF(Table1[[#This Row],[YearsAtCompany]]&lt;=6,"4-6","7+")))</f>
        <v>4-6</v>
      </c>
      <c r="AH382">
        <f>Table1[[#This Row],[MonthlyIncome]]*12*0.75</f>
        <v>38340</v>
      </c>
      <c r="AI3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82">
        <f>IF(Table1[[#This Row],[Attrition]]="Yes",Table1[[#This Row],[EstReplacementCost]],0)</f>
        <v>0</v>
      </c>
    </row>
    <row r="383" spans="1:36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57</v>
      </c>
      <c r="P383">
        <v>2</v>
      </c>
      <c r="Q383" t="s">
        <v>48</v>
      </c>
      <c r="R383">
        <v>2476</v>
      </c>
      <c r="S383">
        <v>17434</v>
      </c>
      <c r="T383">
        <v>1</v>
      </c>
      <c r="U383" t="s">
        <v>43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tr">
        <f>IF(Table1[[#This Row],[YearsAtCompany]]&lt;1,"0-1",IF(Table1[[#This Row],[YearsAtCompany]]&lt;=3,"1-3",IF(Table1[[#This Row],[YearsAtCompany]]&lt;=6,"4-6","7+")))</f>
        <v>1-3</v>
      </c>
      <c r="AH383">
        <f>Table1[[#This Row],[MonthlyIncome]]*12*0.75</f>
        <v>22284</v>
      </c>
      <c r="AI3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83">
        <f>IF(Table1[[#This Row],[Attrition]]="Yes",Table1[[#This Row],[EstReplacementCost]],0)</f>
        <v>0</v>
      </c>
    </row>
    <row r="384" spans="1:36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47</v>
      </c>
      <c r="P384">
        <v>1</v>
      </c>
      <c r="Q384" t="s">
        <v>41</v>
      </c>
      <c r="R384">
        <v>3102</v>
      </c>
      <c r="S384">
        <v>6582</v>
      </c>
      <c r="T384">
        <v>0</v>
      </c>
      <c r="U384" t="s">
        <v>43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tr">
        <f>IF(Table1[[#This Row],[YearsAtCompany]]&lt;1,"0-1",IF(Table1[[#This Row],[YearsAtCompany]]&lt;=3,"1-3",IF(Table1[[#This Row],[YearsAtCompany]]&lt;=6,"4-6","7+")))</f>
        <v>4-6</v>
      </c>
      <c r="AH384">
        <f>Table1[[#This Row],[MonthlyIncome]]*12*0.75</f>
        <v>27918</v>
      </c>
      <c r="AI3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84">
        <f>IF(Table1[[#This Row],[Attrition]]="Yes",Table1[[#This Row],[EstReplacementCost]],0)</f>
        <v>27918</v>
      </c>
    </row>
    <row r="385" spans="1:36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47</v>
      </c>
      <c r="P385">
        <v>2</v>
      </c>
      <c r="Q385" t="s">
        <v>48</v>
      </c>
      <c r="R385">
        <v>2244</v>
      </c>
      <c r="S385">
        <v>24440</v>
      </c>
      <c r="T385">
        <v>1</v>
      </c>
      <c r="U385" t="s">
        <v>43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tr">
        <f>IF(Table1[[#This Row],[YearsAtCompany]]&lt;1,"0-1",IF(Table1[[#This Row],[YearsAtCompany]]&lt;=3,"1-3",IF(Table1[[#This Row],[YearsAtCompany]]&lt;=6,"4-6","7+")))</f>
        <v>1-3</v>
      </c>
      <c r="AH385">
        <f>Table1[[#This Row],[MonthlyIncome]]*12*0.75</f>
        <v>20196</v>
      </c>
      <c r="AI3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85">
        <f>IF(Table1[[#This Row],[Attrition]]="Yes",Table1[[#This Row],[EstReplacementCost]],0)</f>
        <v>0</v>
      </c>
    </row>
    <row r="386" spans="1:36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48</v>
      </c>
      <c r="R386">
        <v>7596</v>
      </c>
      <c r="S386">
        <v>3809</v>
      </c>
      <c r="T386">
        <v>1</v>
      </c>
      <c r="U386" t="s">
        <v>43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tr">
        <f>IF(Table1[[#This Row],[YearsAtCompany]]&lt;1,"0-1",IF(Table1[[#This Row],[YearsAtCompany]]&lt;=3,"1-3",IF(Table1[[#This Row],[YearsAtCompany]]&lt;=6,"4-6","7+")))</f>
        <v>7+</v>
      </c>
      <c r="AH386">
        <f>Table1[[#This Row],[MonthlyIncome]]*12*0.75</f>
        <v>68364</v>
      </c>
      <c r="AI3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86">
        <f>IF(Table1[[#This Row],[Attrition]]="Yes",Table1[[#This Row],[EstReplacementCost]],0)</f>
        <v>0</v>
      </c>
    </row>
    <row r="387" spans="1:36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47</v>
      </c>
      <c r="P387">
        <v>4</v>
      </c>
      <c r="Q387" t="s">
        <v>41</v>
      </c>
      <c r="R387">
        <v>2285</v>
      </c>
      <c r="S387">
        <v>3427</v>
      </c>
      <c r="T387">
        <v>9</v>
      </c>
      <c r="U387" t="s">
        <v>35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tr">
        <f>IF(Table1[[#This Row],[YearsAtCompany]]&lt;1,"0-1",IF(Table1[[#This Row],[YearsAtCompany]]&lt;=3,"1-3",IF(Table1[[#This Row],[YearsAtCompany]]&lt;=6,"4-6","7+")))</f>
        <v>1-3</v>
      </c>
      <c r="AH387">
        <f>Table1[[#This Row],[MonthlyIncome]]*12*0.75</f>
        <v>20565</v>
      </c>
      <c r="AI3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87">
        <f>IF(Table1[[#This Row],[Attrition]]="Yes",Table1[[#This Row],[EstReplacementCost]],0)</f>
        <v>20565</v>
      </c>
    </row>
    <row r="388" spans="1:36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50</v>
      </c>
      <c r="P388">
        <v>1</v>
      </c>
      <c r="Q388" t="s">
        <v>52</v>
      </c>
      <c r="R388">
        <v>3034</v>
      </c>
      <c r="S388">
        <v>26914</v>
      </c>
      <c r="T388">
        <v>1</v>
      </c>
      <c r="U388" t="s">
        <v>43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tr">
        <f>IF(Table1[[#This Row],[YearsAtCompany]]&lt;1,"0-1",IF(Table1[[#This Row],[YearsAtCompany]]&lt;=3,"1-3",IF(Table1[[#This Row],[YearsAtCompany]]&lt;=6,"4-6","7+")))</f>
        <v>7+</v>
      </c>
      <c r="AH388">
        <f>Table1[[#This Row],[MonthlyIncome]]*12*0.75</f>
        <v>27306</v>
      </c>
      <c r="AI3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88">
        <f>IF(Table1[[#This Row],[Attrition]]="Yes",Table1[[#This Row],[EstReplacementCost]],0)</f>
        <v>0</v>
      </c>
    </row>
    <row r="389" spans="1:36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52</v>
      </c>
      <c r="R389">
        <v>5715</v>
      </c>
      <c r="S389">
        <v>22553</v>
      </c>
      <c r="T389">
        <v>7</v>
      </c>
      <c r="U389" t="s">
        <v>43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tr">
        <f>IF(Table1[[#This Row],[YearsAtCompany]]&lt;1,"0-1",IF(Table1[[#This Row],[YearsAtCompany]]&lt;=3,"1-3",IF(Table1[[#This Row],[YearsAtCompany]]&lt;=6,"4-6","7+")))</f>
        <v>4-6</v>
      </c>
      <c r="AH389">
        <f>Table1[[#This Row],[MonthlyIncome]]*12*0.75</f>
        <v>51435</v>
      </c>
      <c r="AI3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89">
        <f>IF(Table1[[#This Row],[Attrition]]="Yes",Table1[[#This Row],[EstReplacementCost]],0)</f>
        <v>0</v>
      </c>
    </row>
    <row r="390" spans="1:36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50</v>
      </c>
      <c r="P390">
        <v>1</v>
      </c>
      <c r="Q390" t="s">
        <v>52</v>
      </c>
      <c r="R390">
        <v>2576</v>
      </c>
      <c r="S390">
        <v>20490</v>
      </c>
      <c r="T390">
        <v>3</v>
      </c>
      <c r="U390" t="s">
        <v>43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tr">
        <f>IF(Table1[[#This Row],[YearsAtCompany]]&lt;1,"0-1",IF(Table1[[#This Row],[YearsAtCompany]]&lt;=3,"1-3",IF(Table1[[#This Row],[YearsAtCompany]]&lt;=6,"4-6","7+")))</f>
        <v>4-6</v>
      </c>
      <c r="AH390">
        <f>Table1[[#This Row],[MonthlyIncome]]*12*0.75</f>
        <v>23184</v>
      </c>
      <c r="AI3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90">
        <f>IF(Table1[[#This Row],[Attrition]]="Yes",Table1[[#This Row],[EstReplacementCost]],0)</f>
        <v>0</v>
      </c>
    </row>
    <row r="391" spans="1:36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53</v>
      </c>
      <c r="P391">
        <v>2</v>
      </c>
      <c r="Q391" t="s">
        <v>41</v>
      </c>
      <c r="R391">
        <v>4197</v>
      </c>
      <c r="S391">
        <v>21123</v>
      </c>
      <c r="T391">
        <v>2</v>
      </c>
      <c r="U391" t="s">
        <v>35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tr">
        <f>IF(Table1[[#This Row],[YearsAtCompany]]&lt;1,"0-1",IF(Table1[[#This Row],[YearsAtCompany]]&lt;=3,"1-3",IF(Table1[[#This Row],[YearsAtCompany]]&lt;=6,"4-6","7+")))</f>
        <v>1-3</v>
      </c>
      <c r="AH391">
        <f>Table1[[#This Row],[MonthlyIncome]]*12*0.75</f>
        <v>37773</v>
      </c>
      <c r="AI3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391">
        <f>IF(Table1[[#This Row],[Attrition]]="Yes",Table1[[#This Row],[EstReplacementCost]],0)</f>
        <v>0</v>
      </c>
    </row>
    <row r="392" spans="1:36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58</v>
      </c>
      <c r="P392">
        <v>2</v>
      </c>
      <c r="Q392" t="s">
        <v>52</v>
      </c>
      <c r="R392">
        <v>14336</v>
      </c>
      <c r="S392">
        <v>4345</v>
      </c>
      <c r="T392">
        <v>1</v>
      </c>
      <c r="U392" t="s">
        <v>43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tr">
        <f>IF(Table1[[#This Row],[YearsAtCompany]]&lt;1,"0-1",IF(Table1[[#This Row],[YearsAtCompany]]&lt;=3,"1-3",IF(Table1[[#This Row],[YearsAtCompany]]&lt;=6,"4-6","7+")))</f>
        <v>7+</v>
      </c>
      <c r="AH392">
        <f>Table1[[#This Row],[MonthlyIncome]]*12*0.75</f>
        <v>129024</v>
      </c>
      <c r="AI3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92">
        <f>IF(Table1[[#This Row],[Attrition]]="Yes",Table1[[#This Row],[EstReplacementCost]],0)</f>
        <v>0</v>
      </c>
    </row>
    <row r="393" spans="1:36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50</v>
      </c>
      <c r="P393">
        <v>3</v>
      </c>
      <c r="Q393" t="s">
        <v>48</v>
      </c>
      <c r="R393">
        <v>3448</v>
      </c>
      <c r="S393">
        <v>13436</v>
      </c>
      <c r="T393">
        <v>6</v>
      </c>
      <c r="U393" t="s">
        <v>43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tr">
        <f>IF(Table1[[#This Row],[YearsAtCompany]]&lt;1,"0-1",IF(Table1[[#This Row],[YearsAtCompany]]&lt;=3,"1-3",IF(Table1[[#This Row],[YearsAtCompany]]&lt;=6,"4-6","7+")))</f>
        <v>1-3</v>
      </c>
      <c r="AH393">
        <f>Table1[[#This Row],[MonthlyIncome]]*12*0.75</f>
        <v>31032</v>
      </c>
      <c r="AI3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93">
        <f>IF(Table1[[#This Row],[Attrition]]="Yes",Table1[[#This Row],[EstReplacementCost]],0)</f>
        <v>0</v>
      </c>
    </row>
    <row r="394" spans="1:36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58</v>
      </c>
      <c r="P394">
        <v>1</v>
      </c>
      <c r="Q394" t="s">
        <v>48</v>
      </c>
      <c r="R394">
        <v>19406</v>
      </c>
      <c r="S394">
        <v>8509</v>
      </c>
      <c r="T394">
        <v>4</v>
      </c>
      <c r="U394" t="s">
        <v>43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tr">
        <f>IF(Table1[[#This Row],[YearsAtCompany]]&lt;1,"0-1",IF(Table1[[#This Row],[YearsAtCompany]]&lt;=3,"1-3",IF(Table1[[#This Row],[YearsAtCompany]]&lt;=6,"4-6","7+")))</f>
        <v>4-6</v>
      </c>
      <c r="AH394">
        <f>Table1[[#This Row],[MonthlyIncome]]*12*0.75</f>
        <v>174654</v>
      </c>
      <c r="AI3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94">
        <f>IF(Table1[[#This Row],[Attrition]]="Yes",Table1[[#This Row],[EstReplacementCost]],0)</f>
        <v>0</v>
      </c>
    </row>
    <row r="395" spans="1:36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48</v>
      </c>
      <c r="R395">
        <v>6538</v>
      </c>
      <c r="S395">
        <v>12740</v>
      </c>
      <c r="T395">
        <v>9</v>
      </c>
      <c r="U395" t="s">
        <v>43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tr">
        <f>IF(Table1[[#This Row],[YearsAtCompany]]&lt;1,"0-1",IF(Table1[[#This Row],[YearsAtCompany]]&lt;=3,"1-3",IF(Table1[[#This Row],[YearsAtCompany]]&lt;=6,"4-6","7+")))</f>
        <v>1-3</v>
      </c>
      <c r="AH395">
        <f>Table1[[#This Row],[MonthlyIncome]]*12*0.75</f>
        <v>58842</v>
      </c>
      <c r="AI3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95">
        <f>IF(Table1[[#This Row],[Attrition]]="Yes",Table1[[#This Row],[EstReplacementCost]],0)</f>
        <v>0</v>
      </c>
    </row>
    <row r="396" spans="1:36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53</v>
      </c>
      <c r="P396">
        <v>1</v>
      </c>
      <c r="Q396" t="s">
        <v>48</v>
      </c>
      <c r="R396">
        <v>4306</v>
      </c>
      <c r="S396">
        <v>4156</v>
      </c>
      <c r="T396">
        <v>1</v>
      </c>
      <c r="U396" t="s">
        <v>43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tr">
        <f>IF(Table1[[#This Row],[YearsAtCompany]]&lt;1,"0-1",IF(Table1[[#This Row],[YearsAtCompany]]&lt;=3,"1-3",IF(Table1[[#This Row],[YearsAtCompany]]&lt;=6,"4-6","7+")))</f>
        <v>7+</v>
      </c>
      <c r="AH396">
        <f>Table1[[#This Row],[MonthlyIncome]]*12*0.75</f>
        <v>38754</v>
      </c>
      <c r="AI3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96">
        <f>IF(Table1[[#This Row],[Attrition]]="Yes",Table1[[#This Row],[EstReplacementCost]],0)</f>
        <v>0</v>
      </c>
    </row>
    <row r="397" spans="1:36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50</v>
      </c>
      <c r="P397">
        <v>4</v>
      </c>
      <c r="Q397" t="s">
        <v>48</v>
      </c>
      <c r="R397">
        <v>2258</v>
      </c>
      <c r="S397">
        <v>15238</v>
      </c>
      <c r="T397">
        <v>7</v>
      </c>
      <c r="U397" t="s">
        <v>43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tr">
        <f>IF(Table1[[#This Row],[YearsAtCompany]]&lt;1,"0-1",IF(Table1[[#This Row],[YearsAtCompany]]&lt;=3,"1-3",IF(Table1[[#This Row],[YearsAtCompany]]&lt;=6,"4-6","7+")))</f>
        <v>1-3</v>
      </c>
      <c r="AH397">
        <f>Table1[[#This Row],[MonthlyIncome]]*12*0.75</f>
        <v>20322</v>
      </c>
      <c r="AI3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397">
        <f>IF(Table1[[#This Row],[Attrition]]="Yes",Table1[[#This Row],[EstReplacementCost]],0)</f>
        <v>0</v>
      </c>
    </row>
    <row r="398" spans="1:36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54</v>
      </c>
      <c r="P398">
        <v>3</v>
      </c>
      <c r="Q398" t="s">
        <v>52</v>
      </c>
      <c r="R398">
        <v>4522</v>
      </c>
      <c r="S398">
        <v>2227</v>
      </c>
      <c r="T398">
        <v>4</v>
      </c>
      <c r="U398" t="s">
        <v>35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tr">
        <f>IF(Table1[[#This Row],[YearsAtCompany]]&lt;1,"0-1",IF(Table1[[#This Row],[YearsAtCompany]]&lt;=3,"1-3",IF(Table1[[#This Row],[YearsAtCompany]]&lt;=6,"4-6","7+")))</f>
        <v>4-6</v>
      </c>
      <c r="AH398">
        <f>Table1[[#This Row],[MonthlyIncome]]*12*0.75</f>
        <v>40698</v>
      </c>
      <c r="AI3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98">
        <f>IF(Table1[[#This Row],[Attrition]]="Yes",Table1[[#This Row],[EstReplacementCost]],0)</f>
        <v>0</v>
      </c>
    </row>
    <row r="399" spans="1:36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>
        <v>4487</v>
      </c>
      <c r="S399">
        <v>12090</v>
      </c>
      <c r="T399">
        <v>1</v>
      </c>
      <c r="U399" t="s">
        <v>35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tr">
        <f>IF(Table1[[#This Row],[YearsAtCompany]]&lt;1,"0-1",IF(Table1[[#This Row],[YearsAtCompany]]&lt;=3,"1-3",IF(Table1[[#This Row],[YearsAtCompany]]&lt;=6,"4-6","7+")))</f>
        <v>4-6</v>
      </c>
      <c r="AH399">
        <f>Table1[[#This Row],[MonthlyIncome]]*12*0.75</f>
        <v>40383</v>
      </c>
      <c r="AI3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399">
        <f>IF(Table1[[#This Row],[Attrition]]="Yes",Table1[[#This Row],[EstReplacementCost]],0)</f>
        <v>0</v>
      </c>
    </row>
    <row r="400" spans="1:36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47</v>
      </c>
      <c r="P400">
        <v>3</v>
      </c>
      <c r="Q400" t="s">
        <v>48</v>
      </c>
      <c r="R400">
        <v>4449</v>
      </c>
      <c r="S400">
        <v>23866</v>
      </c>
      <c r="T400">
        <v>3</v>
      </c>
      <c r="U400" t="s">
        <v>35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tr">
        <f>IF(Table1[[#This Row],[YearsAtCompany]]&lt;1,"0-1",IF(Table1[[#This Row],[YearsAtCompany]]&lt;=3,"1-3",IF(Table1[[#This Row],[YearsAtCompany]]&lt;=6,"4-6","7+")))</f>
        <v>7+</v>
      </c>
      <c r="AH400">
        <f>Table1[[#This Row],[MonthlyIncome]]*12*0.75</f>
        <v>40041</v>
      </c>
      <c r="AI4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00">
        <f>IF(Table1[[#This Row],[Attrition]]="Yes",Table1[[#This Row],[EstReplacementCost]],0)</f>
        <v>0</v>
      </c>
    </row>
    <row r="401" spans="1:36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50</v>
      </c>
      <c r="P401">
        <v>1</v>
      </c>
      <c r="Q401" t="s">
        <v>48</v>
      </c>
      <c r="R401">
        <v>2218</v>
      </c>
      <c r="S401">
        <v>16193</v>
      </c>
      <c r="T401">
        <v>1</v>
      </c>
      <c r="U401" t="s">
        <v>43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tr">
        <f>IF(Table1[[#This Row],[YearsAtCompany]]&lt;1,"0-1",IF(Table1[[#This Row],[YearsAtCompany]]&lt;=3,"1-3",IF(Table1[[#This Row],[YearsAtCompany]]&lt;=6,"4-6","7+")))</f>
        <v>4-6</v>
      </c>
      <c r="AH401">
        <f>Table1[[#This Row],[MonthlyIncome]]*12*0.75</f>
        <v>19962</v>
      </c>
      <c r="AI4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01">
        <f>IF(Table1[[#This Row],[Attrition]]="Yes",Table1[[#This Row],[EstReplacementCost]],0)</f>
        <v>0</v>
      </c>
    </row>
    <row r="402" spans="1:36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56</v>
      </c>
      <c r="P402">
        <v>3</v>
      </c>
      <c r="Q402" t="s">
        <v>52</v>
      </c>
      <c r="R402">
        <v>19197</v>
      </c>
      <c r="S402">
        <v>8213</v>
      </c>
      <c r="T402">
        <v>1</v>
      </c>
      <c r="U402" t="s">
        <v>35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tr">
        <f>IF(Table1[[#This Row],[YearsAtCompany]]&lt;1,"0-1",IF(Table1[[#This Row],[YearsAtCompany]]&lt;=3,"1-3",IF(Table1[[#This Row],[YearsAtCompany]]&lt;=6,"4-6","7+")))</f>
        <v>7+</v>
      </c>
      <c r="AH402">
        <f>Table1[[#This Row],[MonthlyIncome]]*12*0.75</f>
        <v>172773</v>
      </c>
      <c r="AI4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02">
        <f>IF(Table1[[#This Row],[Attrition]]="Yes",Table1[[#This Row],[EstReplacementCost]],0)</f>
        <v>0</v>
      </c>
    </row>
    <row r="403" spans="1:36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48</v>
      </c>
      <c r="R403">
        <v>13212</v>
      </c>
      <c r="S403">
        <v>18256</v>
      </c>
      <c r="T403">
        <v>9</v>
      </c>
      <c r="U403" t="s">
        <v>43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tr">
        <f>IF(Table1[[#This Row],[YearsAtCompany]]&lt;1,"0-1",IF(Table1[[#This Row],[YearsAtCompany]]&lt;=3,"1-3",IF(Table1[[#This Row],[YearsAtCompany]]&lt;=6,"4-6","7+")))</f>
        <v>7+</v>
      </c>
      <c r="AH403">
        <f>Table1[[#This Row],[MonthlyIncome]]*12*0.75</f>
        <v>118908</v>
      </c>
      <c r="AI4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03">
        <f>IF(Table1[[#This Row],[Attrition]]="Yes",Table1[[#This Row],[EstReplacementCost]],0)</f>
        <v>0</v>
      </c>
    </row>
    <row r="404" spans="1:36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>
        <v>6577</v>
      </c>
      <c r="S404">
        <v>19558</v>
      </c>
      <c r="T404">
        <v>0</v>
      </c>
      <c r="U404" t="s">
        <v>43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tr">
        <f>IF(Table1[[#This Row],[YearsAtCompany]]&lt;1,"0-1",IF(Table1[[#This Row],[YearsAtCompany]]&lt;=3,"1-3",IF(Table1[[#This Row],[YearsAtCompany]]&lt;=6,"4-6","7+")))</f>
        <v>4-6</v>
      </c>
      <c r="AH404">
        <f>Table1[[#This Row],[MonthlyIncome]]*12*0.75</f>
        <v>59193</v>
      </c>
      <c r="AI4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04">
        <f>IF(Table1[[#This Row],[Attrition]]="Yes",Table1[[#This Row],[EstReplacementCost]],0)</f>
        <v>0</v>
      </c>
    </row>
    <row r="405" spans="1:36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48</v>
      </c>
      <c r="R405">
        <v>8392</v>
      </c>
      <c r="S405">
        <v>19566</v>
      </c>
      <c r="T405">
        <v>1</v>
      </c>
      <c r="U405" t="s">
        <v>43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tr">
        <f>IF(Table1[[#This Row],[YearsAtCompany]]&lt;1,"0-1",IF(Table1[[#This Row],[YearsAtCompany]]&lt;=3,"1-3",IF(Table1[[#This Row],[YearsAtCompany]]&lt;=6,"4-6","7+")))</f>
        <v>7+</v>
      </c>
      <c r="AH405">
        <f>Table1[[#This Row],[MonthlyIncome]]*12*0.75</f>
        <v>75528</v>
      </c>
      <c r="AI4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05">
        <f>IF(Table1[[#This Row],[Attrition]]="Yes",Table1[[#This Row],[EstReplacementCost]],0)</f>
        <v>0</v>
      </c>
    </row>
    <row r="406" spans="1:36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50</v>
      </c>
      <c r="P406">
        <v>1</v>
      </c>
      <c r="Q406" t="s">
        <v>52</v>
      </c>
      <c r="R406">
        <v>4558</v>
      </c>
      <c r="S406">
        <v>13535</v>
      </c>
      <c r="T406">
        <v>1</v>
      </c>
      <c r="U406" t="s">
        <v>43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tr">
        <f>IF(Table1[[#This Row],[YearsAtCompany]]&lt;1,"0-1",IF(Table1[[#This Row],[YearsAtCompany]]&lt;=3,"1-3",IF(Table1[[#This Row],[YearsAtCompany]]&lt;=6,"4-6","7+")))</f>
        <v>7+</v>
      </c>
      <c r="AH406">
        <f>Table1[[#This Row],[MonthlyIncome]]*12*0.75</f>
        <v>41022</v>
      </c>
      <c r="AI4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06">
        <f>IF(Table1[[#This Row],[Attrition]]="Yes",Table1[[#This Row],[EstReplacementCost]],0)</f>
        <v>0</v>
      </c>
    </row>
    <row r="407" spans="1:36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50</v>
      </c>
      <c r="P407">
        <v>1</v>
      </c>
      <c r="Q407" t="s">
        <v>48</v>
      </c>
      <c r="R407">
        <v>4031</v>
      </c>
      <c r="S407">
        <v>9396</v>
      </c>
      <c r="T407">
        <v>5</v>
      </c>
      <c r="U407" t="s">
        <v>43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tr">
        <f>IF(Table1[[#This Row],[YearsAtCompany]]&lt;1,"0-1",IF(Table1[[#This Row],[YearsAtCompany]]&lt;=3,"1-3",IF(Table1[[#This Row],[YearsAtCompany]]&lt;=6,"4-6","7+")))</f>
        <v>1-3</v>
      </c>
      <c r="AH407">
        <f>Table1[[#This Row],[MonthlyIncome]]*12*0.75</f>
        <v>36279</v>
      </c>
      <c r="AI4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07">
        <f>IF(Table1[[#This Row],[Attrition]]="Yes",Table1[[#This Row],[EstReplacementCost]],0)</f>
        <v>36279</v>
      </c>
    </row>
    <row r="408" spans="1:36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53</v>
      </c>
      <c r="P408">
        <v>3</v>
      </c>
      <c r="Q408" t="s">
        <v>48</v>
      </c>
      <c r="R408">
        <v>7969</v>
      </c>
      <c r="S408">
        <v>19609</v>
      </c>
      <c r="T408">
        <v>2</v>
      </c>
      <c r="U408" t="s">
        <v>35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tr">
        <f>IF(Table1[[#This Row],[YearsAtCompany]]&lt;1,"0-1",IF(Table1[[#This Row],[YearsAtCompany]]&lt;=3,"1-3",IF(Table1[[#This Row],[YearsAtCompany]]&lt;=6,"4-6","7+")))</f>
        <v>4-6</v>
      </c>
      <c r="AH408">
        <f>Table1[[#This Row],[MonthlyIncome]]*12*0.75</f>
        <v>71721</v>
      </c>
      <c r="AI4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08">
        <f>IF(Table1[[#This Row],[Attrition]]="Yes",Table1[[#This Row],[EstReplacementCost]],0)</f>
        <v>0</v>
      </c>
    </row>
    <row r="409" spans="1:36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47</v>
      </c>
      <c r="P409">
        <v>4</v>
      </c>
      <c r="Q409" t="s">
        <v>48</v>
      </c>
      <c r="R409">
        <v>2654</v>
      </c>
      <c r="S409">
        <v>9655</v>
      </c>
      <c r="T409">
        <v>3</v>
      </c>
      <c r="U409" t="s">
        <v>43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tr">
        <f>IF(Table1[[#This Row],[YearsAtCompany]]&lt;1,"0-1",IF(Table1[[#This Row],[YearsAtCompany]]&lt;=3,"1-3",IF(Table1[[#This Row],[YearsAtCompany]]&lt;=6,"4-6","7+")))</f>
        <v>1-3</v>
      </c>
      <c r="AH409">
        <f>Table1[[#This Row],[MonthlyIncome]]*12*0.75</f>
        <v>23886</v>
      </c>
      <c r="AI4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09">
        <f>IF(Table1[[#This Row],[Attrition]]="Yes",Table1[[#This Row],[EstReplacementCost]],0)</f>
        <v>0</v>
      </c>
    </row>
    <row r="410" spans="1:36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56</v>
      </c>
      <c r="P410">
        <v>4</v>
      </c>
      <c r="Q410" t="s">
        <v>48</v>
      </c>
      <c r="R410">
        <v>16555</v>
      </c>
      <c r="S410">
        <v>10310</v>
      </c>
      <c r="T410">
        <v>2</v>
      </c>
      <c r="U410" t="s">
        <v>43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tr">
        <f>IF(Table1[[#This Row],[YearsAtCompany]]&lt;1,"0-1",IF(Table1[[#This Row],[YearsAtCompany]]&lt;=3,"1-3",IF(Table1[[#This Row],[YearsAtCompany]]&lt;=6,"4-6","7+")))</f>
        <v>4-6</v>
      </c>
      <c r="AH410">
        <f>Table1[[#This Row],[MonthlyIncome]]*12*0.75</f>
        <v>148995</v>
      </c>
      <c r="AI4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10">
        <f>IF(Table1[[#This Row],[Attrition]]="Yes",Table1[[#This Row],[EstReplacementCost]],0)</f>
        <v>0</v>
      </c>
    </row>
    <row r="411" spans="1:36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47</v>
      </c>
      <c r="P411">
        <v>3</v>
      </c>
      <c r="Q411" t="s">
        <v>52</v>
      </c>
      <c r="R411">
        <v>4556</v>
      </c>
      <c r="S411">
        <v>12932</v>
      </c>
      <c r="T411">
        <v>2</v>
      </c>
      <c r="U411" t="s">
        <v>43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tr">
        <f>IF(Table1[[#This Row],[YearsAtCompany]]&lt;1,"0-1",IF(Table1[[#This Row],[YearsAtCompany]]&lt;=3,"1-3",IF(Table1[[#This Row],[YearsAtCompany]]&lt;=6,"4-6","7+")))</f>
        <v>4-6</v>
      </c>
      <c r="AH411">
        <f>Table1[[#This Row],[MonthlyIncome]]*12*0.75</f>
        <v>41004</v>
      </c>
      <c r="AI4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11">
        <f>IF(Table1[[#This Row],[Attrition]]="Yes",Table1[[#This Row],[EstReplacementCost]],0)</f>
        <v>0</v>
      </c>
    </row>
    <row r="412" spans="1:36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53</v>
      </c>
      <c r="P412">
        <v>4</v>
      </c>
      <c r="Q412" t="s">
        <v>41</v>
      </c>
      <c r="R412">
        <v>6091</v>
      </c>
      <c r="S412">
        <v>24793</v>
      </c>
      <c r="T412">
        <v>2</v>
      </c>
      <c r="U412" t="s">
        <v>43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tr">
        <f>IF(Table1[[#This Row],[YearsAtCompany]]&lt;1,"0-1",IF(Table1[[#This Row],[YearsAtCompany]]&lt;=3,"1-3",IF(Table1[[#This Row],[YearsAtCompany]]&lt;=6,"4-6","7+")))</f>
        <v>4-6</v>
      </c>
      <c r="AH412">
        <f>Table1[[#This Row],[MonthlyIncome]]*12*0.75</f>
        <v>54819</v>
      </c>
      <c r="AI4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12">
        <f>IF(Table1[[#This Row],[Attrition]]="Yes",Table1[[#This Row],[EstReplacementCost]],0)</f>
        <v>0</v>
      </c>
    </row>
    <row r="413" spans="1:36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56</v>
      </c>
      <c r="P413">
        <v>1</v>
      </c>
      <c r="Q413" t="s">
        <v>48</v>
      </c>
      <c r="R413">
        <v>19566</v>
      </c>
      <c r="S413">
        <v>3854</v>
      </c>
      <c r="T413">
        <v>5</v>
      </c>
      <c r="U413" t="s">
        <v>43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tr">
        <f>IF(Table1[[#This Row],[YearsAtCompany]]&lt;1,"0-1",IF(Table1[[#This Row],[YearsAtCompany]]&lt;=3,"1-3",IF(Table1[[#This Row],[YearsAtCompany]]&lt;=6,"4-6","7+")))</f>
        <v>7+</v>
      </c>
      <c r="AH413">
        <f>Table1[[#This Row],[MonthlyIncome]]*12*0.75</f>
        <v>176094</v>
      </c>
      <c r="AI4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13">
        <f>IF(Table1[[#This Row],[Attrition]]="Yes",Table1[[#This Row],[EstReplacementCost]],0)</f>
        <v>0</v>
      </c>
    </row>
    <row r="414" spans="1:36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53</v>
      </c>
      <c r="P414">
        <v>3</v>
      </c>
      <c r="Q414" t="s">
        <v>52</v>
      </c>
      <c r="R414">
        <v>4810</v>
      </c>
      <c r="S414">
        <v>26314</v>
      </c>
      <c r="T414">
        <v>2</v>
      </c>
      <c r="U414" t="s">
        <v>43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tr">
        <f>IF(Table1[[#This Row],[YearsAtCompany]]&lt;1,"0-1",IF(Table1[[#This Row],[YearsAtCompany]]&lt;=3,"1-3",IF(Table1[[#This Row],[YearsAtCompany]]&lt;=6,"4-6","7+")))</f>
        <v>7+</v>
      </c>
      <c r="AH414">
        <f>Table1[[#This Row],[MonthlyIncome]]*12*0.75</f>
        <v>43290</v>
      </c>
      <c r="AI4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14">
        <f>IF(Table1[[#This Row],[Attrition]]="Yes",Table1[[#This Row],[EstReplacementCost]],0)</f>
        <v>0</v>
      </c>
    </row>
    <row r="415" spans="1:36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54</v>
      </c>
      <c r="P415">
        <v>4</v>
      </c>
      <c r="Q415" t="s">
        <v>48</v>
      </c>
      <c r="R415">
        <v>4523</v>
      </c>
      <c r="S415">
        <v>4386</v>
      </c>
      <c r="T415">
        <v>0</v>
      </c>
      <c r="U415" t="s">
        <v>43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tr">
        <f>IF(Table1[[#This Row],[YearsAtCompany]]&lt;1,"0-1",IF(Table1[[#This Row],[YearsAtCompany]]&lt;=3,"1-3",IF(Table1[[#This Row],[YearsAtCompany]]&lt;=6,"4-6","7+")))</f>
        <v>4-6</v>
      </c>
      <c r="AH415">
        <f>Table1[[#This Row],[MonthlyIncome]]*12*0.75</f>
        <v>40707</v>
      </c>
      <c r="AI4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15">
        <f>IF(Table1[[#This Row],[Attrition]]="Yes",Table1[[#This Row],[EstReplacementCost]],0)</f>
        <v>0</v>
      </c>
    </row>
    <row r="416" spans="1:36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57</v>
      </c>
      <c r="P416">
        <v>2</v>
      </c>
      <c r="Q416" t="s">
        <v>41</v>
      </c>
      <c r="R416">
        <v>3202</v>
      </c>
      <c r="S416">
        <v>21972</v>
      </c>
      <c r="T416">
        <v>1</v>
      </c>
      <c r="U416" t="s">
        <v>35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tr">
        <f>IF(Table1[[#This Row],[YearsAtCompany]]&lt;1,"0-1",IF(Table1[[#This Row],[YearsAtCompany]]&lt;=3,"1-3",IF(Table1[[#This Row],[YearsAtCompany]]&lt;=6,"4-6","7+")))</f>
        <v>4-6</v>
      </c>
      <c r="AH416">
        <f>Table1[[#This Row],[MonthlyIncome]]*12*0.75</f>
        <v>28818</v>
      </c>
      <c r="AI4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16">
        <f>IF(Table1[[#This Row],[Attrition]]="Yes",Table1[[#This Row],[EstReplacementCost]],0)</f>
        <v>28818</v>
      </c>
    </row>
    <row r="417" spans="1:36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57</v>
      </c>
      <c r="P417">
        <v>3</v>
      </c>
      <c r="Q417" t="s">
        <v>52</v>
      </c>
      <c r="R417">
        <v>2351</v>
      </c>
      <c r="S417">
        <v>12253</v>
      </c>
      <c r="T417">
        <v>0</v>
      </c>
      <c r="U417" t="s">
        <v>43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tr">
        <f>IF(Table1[[#This Row],[YearsAtCompany]]&lt;1,"0-1",IF(Table1[[#This Row],[YearsAtCompany]]&lt;=3,"1-3",IF(Table1[[#This Row],[YearsAtCompany]]&lt;=6,"4-6","7+")))</f>
        <v>1-3</v>
      </c>
      <c r="AH417">
        <f>Table1[[#This Row],[MonthlyIncome]]*12*0.75</f>
        <v>21159</v>
      </c>
      <c r="AI4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17">
        <f>IF(Table1[[#This Row],[Attrition]]="Yes",Table1[[#This Row],[EstReplacementCost]],0)</f>
        <v>21159</v>
      </c>
    </row>
    <row r="418" spans="1:36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50</v>
      </c>
      <c r="P418">
        <v>4</v>
      </c>
      <c r="Q418" t="s">
        <v>48</v>
      </c>
      <c r="R418">
        <v>1702</v>
      </c>
      <c r="S418">
        <v>12106</v>
      </c>
      <c r="T418">
        <v>1</v>
      </c>
      <c r="U418" t="s">
        <v>35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tr">
        <f>IF(Table1[[#This Row],[YearsAtCompany]]&lt;1,"0-1",IF(Table1[[#This Row],[YearsAtCompany]]&lt;=3,"1-3",IF(Table1[[#This Row],[YearsAtCompany]]&lt;=6,"4-6","7+")))</f>
        <v>1-3</v>
      </c>
      <c r="AH418">
        <f>Table1[[#This Row],[MonthlyIncome]]*12*0.75</f>
        <v>15318</v>
      </c>
      <c r="AI4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18">
        <f>IF(Table1[[#This Row],[Attrition]]="Yes",Table1[[#This Row],[EstReplacementCost]],0)</f>
        <v>0</v>
      </c>
    </row>
    <row r="419" spans="1:36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56</v>
      </c>
      <c r="P419">
        <v>3</v>
      </c>
      <c r="Q419" t="s">
        <v>48</v>
      </c>
      <c r="R419">
        <v>18041</v>
      </c>
      <c r="S419">
        <v>13022</v>
      </c>
      <c r="T419">
        <v>0</v>
      </c>
      <c r="U419" t="s">
        <v>43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tr">
        <f>IF(Table1[[#This Row],[YearsAtCompany]]&lt;1,"0-1",IF(Table1[[#This Row],[YearsAtCompany]]&lt;=3,"1-3",IF(Table1[[#This Row],[YearsAtCompany]]&lt;=6,"4-6","7+")))</f>
        <v>7+</v>
      </c>
      <c r="AH419">
        <f>Table1[[#This Row],[MonthlyIncome]]*12*0.75</f>
        <v>162369</v>
      </c>
      <c r="AI4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19">
        <f>IF(Table1[[#This Row],[Attrition]]="Yes",Table1[[#This Row],[EstReplacementCost]],0)</f>
        <v>0</v>
      </c>
    </row>
    <row r="420" spans="1:36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47</v>
      </c>
      <c r="P420">
        <v>4</v>
      </c>
      <c r="Q420" t="s">
        <v>52</v>
      </c>
      <c r="R420">
        <v>2886</v>
      </c>
      <c r="S420">
        <v>3032</v>
      </c>
      <c r="T420">
        <v>1</v>
      </c>
      <c r="U420" t="s">
        <v>43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tr">
        <f>IF(Table1[[#This Row],[YearsAtCompany]]&lt;1,"0-1",IF(Table1[[#This Row],[YearsAtCompany]]&lt;=3,"1-3",IF(Table1[[#This Row],[YearsAtCompany]]&lt;=6,"4-6","7+")))</f>
        <v>1-3</v>
      </c>
      <c r="AH420">
        <f>Table1[[#This Row],[MonthlyIncome]]*12*0.75</f>
        <v>25974</v>
      </c>
      <c r="AI4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20">
        <f>IF(Table1[[#This Row],[Attrition]]="Yes",Table1[[#This Row],[EstReplacementCost]],0)</f>
        <v>0</v>
      </c>
    </row>
    <row r="421" spans="1:36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50</v>
      </c>
      <c r="P421">
        <v>4</v>
      </c>
      <c r="Q421" t="s">
        <v>48</v>
      </c>
      <c r="R421">
        <v>2097</v>
      </c>
      <c r="S421">
        <v>16734</v>
      </c>
      <c r="T421">
        <v>4</v>
      </c>
      <c r="U421" t="s">
        <v>43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tr">
        <f>IF(Table1[[#This Row],[YearsAtCompany]]&lt;1,"0-1",IF(Table1[[#This Row],[YearsAtCompany]]&lt;=3,"1-3",IF(Table1[[#This Row],[YearsAtCompany]]&lt;=6,"4-6","7+")))</f>
        <v>4-6</v>
      </c>
      <c r="AH421">
        <f>Table1[[#This Row],[MonthlyIncome]]*12*0.75</f>
        <v>18873</v>
      </c>
      <c r="AI4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21">
        <f>IF(Table1[[#This Row],[Attrition]]="Yes",Table1[[#This Row],[EstReplacementCost]],0)</f>
        <v>0</v>
      </c>
    </row>
    <row r="422" spans="1:36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58</v>
      </c>
      <c r="P422">
        <v>3</v>
      </c>
      <c r="Q422" t="s">
        <v>48</v>
      </c>
      <c r="R422">
        <v>11935</v>
      </c>
      <c r="S422">
        <v>21526</v>
      </c>
      <c r="T422">
        <v>1</v>
      </c>
      <c r="U422" t="s">
        <v>43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tr">
        <f>IF(Table1[[#This Row],[YearsAtCompany]]&lt;1,"0-1",IF(Table1[[#This Row],[YearsAtCompany]]&lt;=3,"1-3",IF(Table1[[#This Row],[YearsAtCompany]]&lt;=6,"4-6","7+")))</f>
        <v>7+</v>
      </c>
      <c r="AH422">
        <f>Table1[[#This Row],[MonthlyIncome]]*12*0.75</f>
        <v>107415</v>
      </c>
      <c r="AI4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22">
        <f>IF(Table1[[#This Row],[Attrition]]="Yes",Table1[[#This Row],[EstReplacementCost]],0)</f>
        <v>0</v>
      </c>
    </row>
    <row r="423" spans="1:36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47</v>
      </c>
      <c r="P423">
        <v>2</v>
      </c>
      <c r="Q423" t="s">
        <v>48</v>
      </c>
      <c r="R423">
        <v>2546</v>
      </c>
      <c r="S423">
        <v>18300</v>
      </c>
      <c r="T423">
        <v>5</v>
      </c>
      <c r="U423" t="s">
        <v>43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tr">
        <f>IF(Table1[[#This Row],[YearsAtCompany]]&lt;1,"0-1",IF(Table1[[#This Row],[YearsAtCompany]]&lt;=3,"1-3",IF(Table1[[#This Row],[YearsAtCompany]]&lt;=6,"4-6","7+")))</f>
        <v>1-3</v>
      </c>
      <c r="AH423">
        <f>Table1[[#This Row],[MonthlyIncome]]*12*0.75</f>
        <v>22914</v>
      </c>
      <c r="AI4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23">
        <f>IF(Table1[[#This Row],[Attrition]]="Yes",Table1[[#This Row],[EstReplacementCost]],0)</f>
        <v>22914</v>
      </c>
    </row>
    <row r="424" spans="1:36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61</v>
      </c>
      <c r="P424">
        <v>4</v>
      </c>
      <c r="Q424" t="s">
        <v>41</v>
      </c>
      <c r="R424">
        <v>2564</v>
      </c>
      <c r="S424">
        <v>18437</v>
      </c>
      <c r="T424">
        <v>1</v>
      </c>
      <c r="U424" t="s">
        <v>43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tr">
        <f>IF(Table1[[#This Row],[YearsAtCompany]]&lt;1,"0-1",IF(Table1[[#This Row],[YearsAtCompany]]&lt;=3,"1-3",IF(Table1[[#This Row],[YearsAtCompany]]&lt;=6,"4-6","7+")))</f>
        <v>1-3</v>
      </c>
      <c r="AH424">
        <f>Table1[[#This Row],[MonthlyIncome]]*12*0.75</f>
        <v>23076</v>
      </c>
      <c r="AI4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24">
        <f>IF(Table1[[#This Row],[Attrition]]="Yes",Table1[[#This Row],[EstReplacementCost]],0)</f>
        <v>23076</v>
      </c>
    </row>
    <row r="425" spans="1:36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48</v>
      </c>
      <c r="R425">
        <v>8412</v>
      </c>
      <c r="S425">
        <v>2890</v>
      </c>
      <c r="T425">
        <v>0</v>
      </c>
      <c r="U425" t="s">
        <v>43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tr">
        <f>IF(Table1[[#This Row],[YearsAtCompany]]&lt;1,"0-1",IF(Table1[[#This Row],[YearsAtCompany]]&lt;=3,"1-3",IF(Table1[[#This Row],[YearsAtCompany]]&lt;=6,"4-6","7+")))</f>
        <v>7+</v>
      </c>
      <c r="AH425">
        <f>Table1[[#This Row],[MonthlyIncome]]*12*0.75</f>
        <v>75708</v>
      </c>
      <c r="AI4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25">
        <f>IF(Table1[[#This Row],[Attrition]]="Yes",Table1[[#This Row],[EstReplacementCost]],0)</f>
        <v>0</v>
      </c>
    </row>
    <row r="426" spans="1:36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56</v>
      </c>
      <c r="P426">
        <v>4</v>
      </c>
      <c r="Q426" t="s">
        <v>52</v>
      </c>
      <c r="R426">
        <v>14118</v>
      </c>
      <c r="S426">
        <v>22102</v>
      </c>
      <c r="T426">
        <v>3</v>
      </c>
      <c r="U426" t="s">
        <v>43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tr">
        <f>IF(Table1[[#This Row],[YearsAtCompany]]&lt;1,"0-1",IF(Table1[[#This Row],[YearsAtCompany]]&lt;=3,"1-3",IF(Table1[[#This Row],[YearsAtCompany]]&lt;=6,"4-6","7+")))</f>
        <v>1-3</v>
      </c>
      <c r="AH426">
        <f>Table1[[#This Row],[MonthlyIncome]]*12*0.75</f>
        <v>127062</v>
      </c>
      <c r="AI4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26">
        <f>IF(Table1[[#This Row],[Attrition]]="Yes",Table1[[#This Row],[EstReplacementCost]],0)</f>
        <v>0</v>
      </c>
    </row>
    <row r="427" spans="1:36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56</v>
      </c>
      <c r="P427">
        <v>3</v>
      </c>
      <c r="Q427" t="s">
        <v>48</v>
      </c>
      <c r="R427">
        <v>17046</v>
      </c>
      <c r="S427">
        <v>9314</v>
      </c>
      <c r="T427">
        <v>0</v>
      </c>
      <c r="U427" t="s">
        <v>43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tr">
        <f>IF(Table1[[#This Row],[YearsAtCompany]]&lt;1,"0-1",IF(Table1[[#This Row],[YearsAtCompany]]&lt;=3,"1-3",IF(Table1[[#This Row],[YearsAtCompany]]&lt;=6,"4-6","7+")))</f>
        <v>7+</v>
      </c>
      <c r="AH427">
        <f>Table1[[#This Row],[MonthlyIncome]]*12*0.75</f>
        <v>153414</v>
      </c>
      <c r="AI4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27">
        <f>IF(Table1[[#This Row],[Attrition]]="Yes",Table1[[#This Row],[EstReplacementCost]],0)</f>
        <v>0</v>
      </c>
    </row>
    <row r="428" spans="1:36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50</v>
      </c>
      <c r="P428">
        <v>4</v>
      </c>
      <c r="Q428" t="s">
        <v>41</v>
      </c>
      <c r="R428">
        <v>2564</v>
      </c>
      <c r="S428">
        <v>7181</v>
      </c>
      <c r="T428">
        <v>0</v>
      </c>
      <c r="U428" t="s">
        <v>43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tr">
        <f>IF(Table1[[#This Row],[YearsAtCompany]]&lt;1,"0-1",IF(Table1[[#This Row],[YearsAtCompany]]&lt;=3,"1-3",IF(Table1[[#This Row],[YearsAtCompany]]&lt;=6,"4-6","7+")))</f>
        <v>7+</v>
      </c>
      <c r="AH428">
        <f>Table1[[#This Row],[MonthlyIncome]]*12*0.75</f>
        <v>23076</v>
      </c>
      <c r="AI4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28">
        <f>IF(Table1[[#This Row],[Attrition]]="Yes",Table1[[#This Row],[EstReplacementCost]],0)</f>
        <v>0</v>
      </c>
    </row>
    <row r="429" spans="1:36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48</v>
      </c>
      <c r="R429">
        <v>10266</v>
      </c>
      <c r="S429">
        <v>2845</v>
      </c>
      <c r="T429">
        <v>4</v>
      </c>
      <c r="U429" t="s">
        <v>43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tr">
        <f>IF(Table1[[#This Row],[YearsAtCompany]]&lt;1,"0-1",IF(Table1[[#This Row],[YearsAtCompany]]&lt;=3,"1-3",IF(Table1[[#This Row],[YearsAtCompany]]&lt;=6,"4-6","7+")))</f>
        <v>7+</v>
      </c>
      <c r="AH429">
        <f>Table1[[#This Row],[MonthlyIncome]]*12*0.75</f>
        <v>92394</v>
      </c>
      <c r="AI4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29">
        <f>IF(Table1[[#This Row],[Attrition]]="Yes",Table1[[#This Row],[EstReplacementCost]],0)</f>
        <v>0</v>
      </c>
    </row>
    <row r="430" spans="1:36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53</v>
      </c>
      <c r="P430">
        <v>4</v>
      </c>
      <c r="Q430" t="s">
        <v>52</v>
      </c>
      <c r="R430">
        <v>5070</v>
      </c>
      <c r="S430">
        <v>7389</v>
      </c>
      <c r="T430">
        <v>5</v>
      </c>
      <c r="U430" t="s">
        <v>43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tr">
        <f>IF(Table1[[#This Row],[YearsAtCompany]]&lt;1,"0-1",IF(Table1[[#This Row],[YearsAtCompany]]&lt;=3,"1-3",IF(Table1[[#This Row],[YearsAtCompany]]&lt;=6,"4-6","7+")))</f>
        <v>4-6</v>
      </c>
      <c r="AH430">
        <f>Table1[[#This Row],[MonthlyIncome]]*12*0.75</f>
        <v>45630</v>
      </c>
      <c r="AI4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30">
        <f>IF(Table1[[#This Row],[Attrition]]="Yes",Table1[[#This Row],[EstReplacementCost]],0)</f>
        <v>0</v>
      </c>
    </row>
    <row r="431" spans="1:36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58</v>
      </c>
      <c r="P431">
        <v>3</v>
      </c>
      <c r="Q431" t="s">
        <v>48</v>
      </c>
      <c r="R431">
        <v>17861</v>
      </c>
      <c r="S431">
        <v>2288</v>
      </c>
      <c r="T431">
        <v>6</v>
      </c>
      <c r="U431" t="s">
        <v>43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tr">
        <f>IF(Table1[[#This Row],[YearsAtCompany]]&lt;1,"0-1",IF(Table1[[#This Row],[YearsAtCompany]]&lt;=3,"1-3",IF(Table1[[#This Row],[YearsAtCompany]]&lt;=6,"4-6","7+")))</f>
        <v>1-3</v>
      </c>
      <c r="AH431">
        <f>Table1[[#This Row],[MonthlyIncome]]*12*0.75</f>
        <v>160749</v>
      </c>
      <c r="AI4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31">
        <f>IF(Table1[[#This Row],[Attrition]]="Yes",Table1[[#This Row],[EstReplacementCost]],0)</f>
        <v>0</v>
      </c>
    </row>
    <row r="432" spans="1:36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50</v>
      </c>
      <c r="P432">
        <v>3</v>
      </c>
      <c r="Q432" t="s">
        <v>41</v>
      </c>
      <c r="R432">
        <v>4230</v>
      </c>
      <c r="S432">
        <v>19225</v>
      </c>
      <c r="T432">
        <v>0</v>
      </c>
      <c r="U432" t="s">
        <v>43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tr">
        <f>IF(Table1[[#This Row],[YearsAtCompany]]&lt;1,"0-1",IF(Table1[[#This Row],[YearsAtCompany]]&lt;=3,"1-3",IF(Table1[[#This Row],[YearsAtCompany]]&lt;=6,"4-6","7+")))</f>
        <v>4-6</v>
      </c>
      <c r="AH432">
        <f>Table1[[#This Row],[MonthlyIncome]]*12*0.75</f>
        <v>38070</v>
      </c>
      <c r="AI4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32">
        <f>IF(Table1[[#This Row],[Attrition]]="Yes",Table1[[#This Row],[EstReplacementCost]],0)</f>
        <v>0</v>
      </c>
    </row>
    <row r="433" spans="1:36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50</v>
      </c>
      <c r="P433">
        <v>3</v>
      </c>
      <c r="Q433" t="s">
        <v>41</v>
      </c>
      <c r="R433">
        <v>3780</v>
      </c>
      <c r="S433">
        <v>23428</v>
      </c>
      <c r="T433">
        <v>7</v>
      </c>
      <c r="U433" t="s">
        <v>43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tr">
        <f>IF(Table1[[#This Row],[YearsAtCompany]]&lt;1,"0-1",IF(Table1[[#This Row],[YearsAtCompany]]&lt;=3,"1-3",IF(Table1[[#This Row],[YearsAtCompany]]&lt;=6,"4-6","7+")))</f>
        <v>1-3</v>
      </c>
      <c r="AH433">
        <f>Table1[[#This Row],[MonthlyIncome]]*12*0.75</f>
        <v>34020</v>
      </c>
      <c r="AI4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33">
        <f>IF(Table1[[#This Row],[Attrition]]="Yes",Table1[[#This Row],[EstReplacementCost]],0)</f>
        <v>0</v>
      </c>
    </row>
    <row r="434" spans="1:36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47</v>
      </c>
      <c r="P434">
        <v>3</v>
      </c>
      <c r="Q434" t="s">
        <v>52</v>
      </c>
      <c r="R434">
        <v>2768</v>
      </c>
      <c r="S434">
        <v>8416</v>
      </c>
      <c r="T434">
        <v>3</v>
      </c>
      <c r="U434" t="s">
        <v>43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tr">
        <f>IF(Table1[[#This Row],[YearsAtCompany]]&lt;1,"0-1",IF(Table1[[#This Row],[YearsAtCompany]]&lt;=3,"1-3",IF(Table1[[#This Row],[YearsAtCompany]]&lt;=6,"4-6","7+")))</f>
        <v>7+</v>
      </c>
      <c r="AH434">
        <f>Table1[[#This Row],[MonthlyIncome]]*12*0.75</f>
        <v>24912</v>
      </c>
      <c r="AI4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34">
        <f>IF(Table1[[#This Row],[Attrition]]="Yes",Table1[[#This Row],[EstReplacementCost]],0)</f>
        <v>0</v>
      </c>
    </row>
    <row r="435" spans="1:36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48</v>
      </c>
      <c r="R435">
        <v>9071</v>
      </c>
      <c r="S435">
        <v>11563</v>
      </c>
      <c r="T435">
        <v>2</v>
      </c>
      <c r="U435" t="s">
        <v>35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tr">
        <f>IF(Table1[[#This Row],[YearsAtCompany]]&lt;1,"0-1",IF(Table1[[#This Row],[YearsAtCompany]]&lt;=3,"1-3",IF(Table1[[#This Row],[YearsAtCompany]]&lt;=6,"4-6","7+")))</f>
        <v>1-3</v>
      </c>
      <c r="AH435">
        <f>Table1[[#This Row],[MonthlyIncome]]*12*0.75</f>
        <v>81639</v>
      </c>
      <c r="AI4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35">
        <f>IF(Table1[[#This Row],[Attrition]]="Yes",Table1[[#This Row],[EstReplacementCost]],0)</f>
        <v>0</v>
      </c>
    </row>
    <row r="436" spans="1:36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53</v>
      </c>
      <c r="P436">
        <v>2</v>
      </c>
      <c r="Q436" t="s">
        <v>52</v>
      </c>
      <c r="R436">
        <v>10648</v>
      </c>
      <c r="S436">
        <v>14394</v>
      </c>
      <c r="T436">
        <v>1</v>
      </c>
      <c r="U436" t="s">
        <v>43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tr">
        <f>IF(Table1[[#This Row],[YearsAtCompany]]&lt;1,"0-1",IF(Table1[[#This Row],[YearsAtCompany]]&lt;=3,"1-3",IF(Table1[[#This Row],[YearsAtCompany]]&lt;=6,"4-6","7+")))</f>
        <v>7+</v>
      </c>
      <c r="AH436">
        <f>Table1[[#This Row],[MonthlyIncome]]*12*0.75</f>
        <v>95832</v>
      </c>
      <c r="AI4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36">
        <f>IF(Table1[[#This Row],[Attrition]]="Yes",Table1[[#This Row],[EstReplacementCost]],0)</f>
        <v>0</v>
      </c>
    </row>
    <row r="437" spans="1:36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56</v>
      </c>
      <c r="P437">
        <v>3</v>
      </c>
      <c r="Q437" t="s">
        <v>48</v>
      </c>
      <c r="R437">
        <v>13610</v>
      </c>
      <c r="S437">
        <v>24619</v>
      </c>
      <c r="T437">
        <v>7</v>
      </c>
      <c r="U437" t="s">
        <v>35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tr">
        <f>IF(Table1[[#This Row],[YearsAtCompany]]&lt;1,"0-1",IF(Table1[[#This Row],[YearsAtCompany]]&lt;=3,"1-3",IF(Table1[[#This Row],[YearsAtCompany]]&lt;=6,"4-6","7+")))</f>
        <v>7+</v>
      </c>
      <c r="AH437">
        <f>Table1[[#This Row],[MonthlyIncome]]*12*0.75</f>
        <v>122490</v>
      </c>
      <c r="AI4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37">
        <f>IF(Table1[[#This Row],[Attrition]]="Yes",Table1[[#This Row],[EstReplacementCost]],0)</f>
        <v>122490</v>
      </c>
    </row>
    <row r="438" spans="1:36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50</v>
      </c>
      <c r="P438">
        <v>4</v>
      </c>
      <c r="Q438" t="s">
        <v>52</v>
      </c>
      <c r="R438">
        <v>3408</v>
      </c>
      <c r="S438">
        <v>6705</v>
      </c>
      <c r="T438">
        <v>7</v>
      </c>
      <c r="U438" t="s">
        <v>43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tr">
        <f>IF(Table1[[#This Row],[YearsAtCompany]]&lt;1,"0-1",IF(Table1[[#This Row],[YearsAtCompany]]&lt;=3,"1-3",IF(Table1[[#This Row],[YearsAtCompany]]&lt;=6,"4-6","7+")))</f>
        <v>4-6</v>
      </c>
      <c r="AH438">
        <f>Table1[[#This Row],[MonthlyIncome]]*12*0.75</f>
        <v>30672</v>
      </c>
      <c r="AI4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38">
        <f>IF(Table1[[#This Row],[Attrition]]="Yes",Table1[[#This Row],[EstReplacementCost]],0)</f>
        <v>30672</v>
      </c>
    </row>
    <row r="439" spans="1:36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57</v>
      </c>
      <c r="P439">
        <v>2</v>
      </c>
      <c r="Q439" t="s">
        <v>41</v>
      </c>
      <c r="R439">
        <v>2983</v>
      </c>
      <c r="S439">
        <v>18398</v>
      </c>
      <c r="T439">
        <v>0</v>
      </c>
      <c r="U439" t="s">
        <v>43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tr">
        <f>IF(Table1[[#This Row],[YearsAtCompany]]&lt;1,"0-1",IF(Table1[[#This Row],[YearsAtCompany]]&lt;=3,"1-3",IF(Table1[[#This Row],[YearsAtCompany]]&lt;=6,"4-6","7+")))</f>
        <v>1-3</v>
      </c>
      <c r="AH439">
        <f>Table1[[#This Row],[MonthlyIncome]]*12*0.75</f>
        <v>26847</v>
      </c>
      <c r="AI4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39">
        <f>IF(Table1[[#This Row],[Attrition]]="Yes",Table1[[#This Row],[EstReplacementCost]],0)</f>
        <v>0</v>
      </c>
    </row>
    <row r="440" spans="1:36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54</v>
      </c>
      <c r="P440">
        <v>3</v>
      </c>
      <c r="Q440" t="s">
        <v>48</v>
      </c>
      <c r="R440">
        <v>7632</v>
      </c>
      <c r="S440">
        <v>14295</v>
      </c>
      <c r="T440">
        <v>4</v>
      </c>
      <c r="U440" t="s">
        <v>35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tr">
        <f>IF(Table1[[#This Row],[YearsAtCompany]]&lt;1,"0-1",IF(Table1[[#This Row],[YearsAtCompany]]&lt;=3,"1-3",IF(Table1[[#This Row],[YearsAtCompany]]&lt;=6,"4-6","7+")))</f>
        <v>7+</v>
      </c>
      <c r="AH440">
        <f>Table1[[#This Row],[MonthlyIncome]]*12*0.75</f>
        <v>68688</v>
      </c>
      <c r="AI4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40">
        <f>IF(Table1[[#This Row],[Attrition]]="Yes",Table1[[#This Row],[EstReplacementCost]],0)</f>
        <v>0</v>
      </c>
    </row>
    <row r="441" spans="1:36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54</v>
      </c>
      <c r="P441">
        <v>3</v>
      </c>
      <c r="Q441" t="s">
        <v>48</v>
      </c>
      <c r="R441">
        <v>9824</v>
      </c>
      <c r="S441">
        <v>22908</v>
      </c>
      <c r="T441">
        <v>3</v>
      </c>
      <c r="U441" t="s">
        <v>43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tr">
        <f>IF(Table1[[#This Row],[YearsAtCompany]]&lt;1,"0-1",IF(Table1[[#This Row],[YearsAtCompany]]&lt;=3,"1-3",IF(Table1[[#This Row],[YearsAtCompany]]&lt;=6,"4-6","7+")))</f>
        <v>1-3</v>
      </c>
      <c r="AH441">
        <f>Table1[[#This Row],[MonthlyIncome]]*12*0.75</f>
        <v>88416</v>
      </c>
      <c r="AI4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41">
        <f>IF(Table1[[#This Row],[Attrition]]="Yes",Table1[[#This Row],[EstReplacementCost]],0)</f>
        <v>88416</v>
      </c>
    </row>
    <row r="442" spans="1:36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61</v>
      </c>
      <c r="P442">
        <v>1</v>
      </c>
      <c r="Q442" t="s">
        <v>52</v>
      </c>
      <c r="R442">
        <v>9950</v>
      </c>
      <c r="S442">
        <v>11533</v>
      </c>
      <c r="T442">
        <v>9</v>
      </c>
      <c r="U442" t="s">
        <v>35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tr">
        <f>IF(Table1[[#This Row],[YearsAtCompany]]&lt;1,"0-1",IF(Table1[[#This Row],[YearsAtCompany]]&lt;=3,"1-3",IF(Table1[[#This Row],[YearsAtCompany]]&lt;=6,"4-6","7+")))</f>
        <v>1-3</v>
      </c>
      <c r="AH442">
        <f>Table1[[#This Row],[MonthlyIncome]]*12*0.75</f>
        <v>89550</v>
      </c>
      <c r="AI4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442">
        <f>IF(Table1[[#This Row],[Attrition]]="Yes",Table1[[#This Row],[EstReplacementCost]],0)</f>
        <v>89550</v>
      </c>
    </row>
    <row r="443" spans="1:36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50</v>
      </c>
      <c r="P443">
        <v>3</v>
      </c>
      <c r="Q443" t="s">
        <v>48</v>
      </c>
      <c r="R443">
        <v>2093</v>
      </c>
      <c r="S443">
        <v>9260</v>
      </c>
      <c r="T443">
        <v>4</v>
      </c>
      <c r="U443" t="s">
        <v>43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tr">
        <f>IF(Table1[[#This Row],[YearsAtCompany]]&lt;1,"0-1",IF(Table1[[#This Row],[YearsAtCompany]]&lt;=3,"1-3",IF(Table1[[#This Row],[YearsAtCompany]]&lt;=6,"4-6","7+")))</f>
        <v>1-3</v>
      </c>
      <c r="AH443">
        <f>Table1[[#This Row],[MonthlyIncome]]*12*0.75</f>
        <v>18837</v>
      </c>
      <c r="AI4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43">
        <f>IF(Table1[[#This Row],[Attrition]]="Yes",Table1[[#This Row],[EstReplacementCost]],0)</f>
        <v>0</v>
      </c>
    </row>
    <row r="444" spans="1:36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>
        <v>9980</v>
      </c>
      <c r="S444">
        <v>15318</v>
      </c>
      <c r="T444">
        <v>1</v>
      </c>
      <c r="U444" t="s">
        <v>43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tr">
        <f>IF(Table1[[#This Row],[YearsAtCompany]]&lt;1,"0-1",IF(Table1[[#This Row],[YearsAtCompany]]&lt;=3,"1-3",IF(Table1[[#This Row],[YearsAtCompany]]&lt;=6,"4-6","7+")))</f>
        <v>7+</v>
      </c>
      <c r="AH444">
        <f>Table1[[#This Row],[MonthlyIncome]]*12*0.75</f>
        <v>89820</v>
      </c>
      <c r="AI4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44">
        <f>IF(Table1[[#This Row],[Attrition]]="Yes",Table1[[#This Row],[EstReplacementCost]],0)</f>
        <v>0</v>
      </c>
    </row>
    <row r="445" spans="1:36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50</v>
      </c>
      <c r="P445">
        <v>3</v>
      </c>
      <c r="Q445" t="s">
        <v>41</v>
      </c>
      <c r="R445">
        <v>3894</v>
      </c>
      <c r="S445">
        <v>9129</v>
      </c>
      <c r="T445">
        <v>5</v>
      </c>
      <c r="U445" t="s">
        <v>43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tr">
        <f>IF(Table1[[#This Row],[YearsAtCompany]]&lt;1,"0-1",IF(Table1[[#This Row],[YearsAtCompany]]&lt;=3,"1-3",IF(Table1[[#This Row],[YearsAtCompany]]&lt;=6,"4-6","7+")))</f>
        <v>1-3</v>
      </c>
      <c r="AH445">
        <f>Table1[[#This Row],[MonthlyIncome]]*12*0.75</f>
        <v>35046</v>
      </c>
      <c r="AI4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45">
        <f>IF(Table1[[#This Row],[Attrition]]="Yes",Table1[[#This Row],[EstReplacementCost]],0)</f>
        <v>35046</v>
      </c>
    </row>
    <row r="446" spans="1:36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48</v>
      </c>
      <c r="R446">
        <v>4051</v>
      </c>
      <c r="S446">
        <v>19658</v>
      </c>
      <c r="T446">
        <v>2</v>
      </c>
      <c r="U446" t="s">
        <v>43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tr">
        <f>IF(Table1[[#This Row],[YearsAtCompany]]&lt;1,"0-1",IF(Table1[[#This Row],[YearsAtCompany]]&lt;=3,"1-3",IF(Table1[[#This Row],[YearsAtCompany]]&lt;=6,"4-6","7+")))</f>
        <v>7+</v>
      </c>
      <c r="AH446">
        <f>Table1[[#This Row],[MonthlyIncome]]*12*0.75</f>
        <v>36459</v>
      </c>
      <c r="AI4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46">
        <f>IF(Table1[[#This Row],[Attrition]]="Yes",Table1[[#This Row],[EstReplacementCost]],0)</f>
        <v>0</v>
      </c>
    </row>
    <row r="447" spans="1:36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56</v>
      </c>
      <c r="P447">
        <v>2</v>
      </c>
      <c r="Q447" t="s">
        <v>41</v>
      </c>
      <c r="R447">
        <v>16835</v>
      </c>
      <c r="S447">
        <v>9873</v>
      </c>
      <c r="T447">
        <v>3</v>
      </c>
      <c r="U447" t="s">
        <v>43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tr">
        <f>IF(Table1[[#This Row],[YearsAtCompany]]&lt;1,"0-1",IF(Table1[[#This Row],[YearsAtCompany]]&lt;=3,"1-3",IF(Table1[[#This Row],[YearsAtCompany]]&lt;=6,"4-6","7+")))</f>
        <v>7+</v>
      </c>
      <c r="AH447">
        <f>Table1[[#This Row],[MonthlyIncome]]*12*0.75</f>
        <v>151515</v>
      </c>
      <c r="AI4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47">
        <f>IF(Table1[[#This Row],[Attrition]]="Yes",Table1[[#This Row],[EstReplacementCost]],0)</f>
        <v>0</v>
      </c>
    </row>
    <row r="448" spans="1:36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>
        <v>6230</v>
      </c>
      <c r="S448">
        <v>13430</v>
      </c>
      <c r="T448">
        <v>7</v>
      </c>
      <c r="U448" t="s">
        <v>43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tr">
        <f>IF(Table1[[#This Row],[YearsAtCompany]]&lt;1,"0-1",IF(Table1[[#This Row],[YearsAtCompany]]&lt;=3,"1-3",IF(Table1[[#This Row],[YearsAtCompany]]&lt;=6,"4-6","7+")))</f>
        <v>7+</v>
      </c>
      <c r="AH448">
        <f>Table1[[#This Row],[MonthlyIncome]]*12*0.75</f>
        <v>56070</v>
      </c>
      <c r="AI4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48">
        <f>IF(Table1[[#This Row],[Attrition]]="Yes",Table1[[#This Row],[EstReplacementCost]],0)</f>
        <v>0</v>
      </c>
    </row>
    <row r="449" spans="1:36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48</v>
      </c>
      <c r="R449">
        <v>4717</v>
      </c>
      <c r="S449">
        <v>18659</v>
      </c>
      <c r="T449">
        <v>9</v>
      </c>
      <c r="U449" t="s">
        <v>43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tr">
        <f>IF(Table1[[#This Row],[YearsAtCompany]]&lt;1,"0-1",IF(Table1[[#This Row],[YearsAtCompany]]&lt;=3,"1-3",IF(Table1[[#This Row],[YearsAtCompany]]&lt;=6,"4-6","7+")))</f>
        <v>7+</v>
      </c>
      <c r="AH449">
        <f>Table1[[#This Row],[MonthlyIncome]]*12*0.75</f>
        <v>42453</v>
      </c>
      <c r="AI4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49">
        <f>IF(Table1[[#This Row],[Attrition]]="Yes",Table1[[#This Row],[EstReplacementCost]],0)</f>
        <v>0</v>
      </c>
    </row>
    <row r="450" spans="1:36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53</v>
      </c>
      <c r="P450">
        <v>3</v>
      </c>
      <c r="Q450" t="s">
        <v>41</v>
      </c>
      <c r="R450">
        <v>13237</v>
      </c>
      <c r="S450">
        <v>20364</v>
      </c>
      <c r="T450">
        <v>7</v>
      </c>
      <c r="U450" t="s">
        <v>43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tr">
        <f>IF(Table1[[#This Row],[YearsAtCompany]]&lt;1,"0-1",IF(Table1[[#This Row],[YearsAtCompany]]&lt;=3,"1-3",IF(Table1[[#This Row],[YearsAtCompany]]&lt;=6,"4-6","7+")))</f>
        <v>7+</v>
      </c>
      <c r="AH450">
        <f>Table1[[#This Row],[MonthlyIncome]]*12*0.75</f>
        <v>119133</v>
      </c>
      <c r="AI4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50">
        <f>IF(Table1[[#This Row],[Attrition]]="Yes",Table1[[#This Row],[EstReplacementCost]],0)</f>
        <v>0</v>
      </c>
    </row>
    <row r="451" spans="1:36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50</v>
      </c>
      <c r="P451">
        <v>3</v>
      </c>
      <c r="Q451" t="s">
        <v>48</v>
      </c>
      <c r="R451">
        <v>3755</v>
      </c>
      <c r="S451">
        <v>17872</v>
      </c>
      <c r="T451">
        <v>1</v>
      </c>
      <c r="U451" t="s">
        <v>43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tr">
        <f>IF(Table1[[#This Row],[YearsAtCompany]]&lt;1,"0-1",IF(Table1[[#This Row],[YearsAtCompany]]&lt;=3,"1-3",IF(Table1[[#This Row],[YearsAtCompany]]&lt;=6,"4-6","7+")))</f>
        <v>7+</v>
      </c>
      <c r="AH451">
        <f>Table1[[#This Row],[MonthlyIncome]]*12*0.75</f>
        <v>33795</v>
      </c>
      <c r="AI4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51">
        <f>IF(Table1[[#This Row],[Attrition]]="Yes",Table1[[#This Row],[EstReplacementCost]],0)</f>
        <v>0</v>
      </c>
    </row>
    <row r="452" spans="1:36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>
        <v>6582</v>
      </c>
      <c r="S452">
        <v>8346</v>
      </c>
      <c r="T452">
        <v>4</v>
      </c>
      <c r="U452" t="s">
        <v>35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tr">
        <f>IF(Table1[[#This Row],[YearsAtCompany]]&lt;1,"0-1",IF(Table1[[#This Row],[YearsAtCompany]]&lt;=3,"1-3",IF(Table1[[#This Row],[YearsAtCompany]]&lt;=6,"4-6","7+")))</f>
        <v>4-6</v>
      </c>
      <c r="AH452">
        <f>Table1[[#This Row],[MonthlyIncome]]*12*0.75</f>
        <v>59238</v>
      </c>
      <c r="AI4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52">
        <f>IF(Table1[[#This Row],[Attrition]]="Yes",Table1[[#This Row],[EstReplacementCost]],0)</f>
        <v>0</v>
      </c>
    </row>
    <row r="453" spans="1:36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53</v>
      </c>
      <c r="P453">
        <v>1</v>
      </c>
      <c r="Q453" t="s">
        <v>48</v>
      </c>
      <c r="R453">
        <v>7406</v>
      </c>
      <c r="S453">
        <v>6950</v>
      </c>
      <c r="T453">
        <v>1</v>
      </c>
      <c r="U453" t="s">
        <v>35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tr">
        <f>IF(Table1[[#This Row],[YearsAtCompany]]&lt;1,"0-1",IF(Table1[[#This Row],[YearsAtCompany]]&lt;=3,"1-3",IF(Table1[[#This Row],[YearsAtCompany]]&lt;=6,"4-6","7+")))</f>
        <v>7+</v>
      </c>
      <c r="AH453">
        <f>Table1[[#This Row],[MonthlyIncome]]*12*0.75</f>
        <v>66654</v>
      </c>
      <c r="AI4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53">
        <f>IF(Table1[[#This Row],[Attrition]]="Yes",Table1[[#This Row],[EstReplacementCost]],0)</f>
        <v>0</v>
      </c>
    </row>
    <row r="454" spans="1:36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48</v>
      </c>
      <c r="R454">
        <v>4805</v>
      </c>
      <c r="S454">
        <v>16177</v>
      </c>
      <c r="T454">
        <v>0</v>
      </c>
      <c r="U454" t="s">
        <v>43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tr">
        <f>IF(Table1[[#This Row],[YearsAtCompany]]&lt;1,"0-1",IF(Table1[[#This Row],[YearsAtCompany]]&lt;=3,"1-3",IF(Table1[[#This Row],[YearsAtCompany]]&lt;=6,"4-6","7+")))</f>
        <v>7+</v>
      </c>
      <c r="AH454">
        <f>Table1[[#This Row],[MonthlyIncome]]*12*0.75</f>
        <v>43245</v>
      </c>
      <c r="AI4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54">
        <f>IF(Table1[[#This Row],[Attrition]]="Yes",Table1[[#This Row],[EstReplacementCost]],0)</f>
        <v>0</v>
      </c>
    </row>
    <row r="455" spans="1:36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61</v>
      </c>
      <c r="P455">
        <v>3</v>
      </c>
      <c r="Q455" t="s">
        <v>52</v>
      </c>
      <c r="R455">
        <v>2741</v>
      </c>
      <c r="S455">
        <v>22808</v>
      </c>
      <c r="T455">
        <v>0</v>
      </c>
      <c r="U455" t="s">
        <v>35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tr">
        <f>IF(Table1[[#This Row],[YearsAtCompany]]&lt;1,"0-1",IF(Table1[[#This Row],[YearsAtCompany]]&lt;=3,"1-3",IF(Table1[[#This Row],[YearsAtCompany]]&lt;=6,"4-6","7+")))</f>
        <v>7+</v>
      </c>
      <c r="AH455">
        <f>Table1[[#This Row],[MonthlyIncome]]*12*0.75</f>
        <v>24669</v>
      </c>
      <c r="AI4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55">
        <f>IF(Table1[[#This Row],[Attrition]]="Yes",Table1[[#This Row],[EstReplacementCost]],0)</f>
        <v>24669</v>
      </c>
    </row>
    <row r="456" spans="1:36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53</v>
      </c>
      <c r="P456">
        <v>4</v>
      </c>
      <c r="Q456" t="s">
        <v>52</v>
      </c>
      <c r="R456">
        <v>4262</v>
      </c>
      <c r="S456">
        <v>22645</v>
      </c>
      <c r="T456">
        <v>4</v>
      </c>
      <c r="U456" t="s">
        <v>43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tr">
        <f>IF(Table1[[#This Row],[YearsAtCompany]]&lt;1,"0-1",IF(Table1[[#This Row],[YearsAtCompany]]&lt;=3,"1-3",IF(Table1[[#This Row],[YearsAtCompany]]&lt;=6,"4-6","7+")))</f>
        <v>1-3</v>
      </c>
      <c r="AH456">
        <f>Table1[[#This Row],[MonthlyIncome]]*12*0.75</f>
        <v>38358</v>
      </c>
      <c r="AI4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56">
        <f>IF(Table1[[#This Row],[Attrition]]="Yes",Table1[[#This Row],[EstReplacementCost]],0)</f>
        <v>0</v>
      </c>
    </row>
    <row r="457" spans="1:36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58</v>
      </c>
      <c r="P457">
        <v>3</v>
      </c>
      <c r="Q457" t="s">
        <v>52</v>
      </c>
      <c r="R457">
        <v>16184</v>
      </c>
      <c r="S457">
        <v>22578</v>
      </c>
      <c r="T457">
        <v>4</v>
      </c>
      <c r="U457" t="s">
        <v>43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tr">
        <f>IF(Table1[[#This Row],[YearsAtCompany]]&lt;1,"0-1",IF(Table1[[#This Row],[YearsAtCompany]]&lt;=3,"1-3",IF(Table1[[#This Row],[YearsAtCompany]]&lt;=6,"4-6","7+")))</f>
        <v>4-6</v>
      </c>
      <c r="AH457">
        <f>Table1[[#This Row],[MonthlyIncome]]*12*0.75</f>
        <v>145656</v>
      </c>
      <c r="AI4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57">
        <f>IF(Table1[[#This Row],[Attrition]]="Yes",Table1[[#This Row],[EstReplacementCost]],0)</f>
        <v>0</v>
      </c>
    </row>
    <row r="458" spans="1:36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56</v>
      </c>
      <c r="P458">
        <v>4</v>
      </c>
      <c r="Q458" t="s">
        <v>52</v>
      </c>
      <c r="R458">
        <v>11557</v>
      </c>
      <c r="S458">
        <v>25291</v>
      </c>
      <c r="T458">
        <v>9</v>
      </c>
      <c r="U458" t="s">
        <v>43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tr">
        <f>IF(Table1[[#This Row],[YearsAtCompany]]&lt;1,"0-1",IF(Table1[[#This Row],[YearsAtCompany]]&lt;=3,"1-3",IF(Table1[[#This Row],[YearsAtCompany]]&lt;=6,"4-6","7+")))</f>
        <v>4-6</v>
      </c>
      <c r="AH458">
        <f>Table1[[#This Row],[MonthlyIncome]]*12*0.75</f>
        <v>104013</v>
      </c>
      <c r="AI4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58">
        <f>IF(Table1[[#This Row],[Attrition]]="Yes",Table1[[#This Row],[EstReplacementCost]],0)</f>
        <v>0</v>
      </c>
    </row>
    <row r="459" spans="1:36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57</v>
      </c>
      <c r="P459">
        <v>2</v>
      </c>
      <c r="Q459" t="s">
        <v>41</v>
      </c>
      <c r="R459">
        <v>1878</v>
      </c>
      <c r="S459">
        <v>8059</v>
      </c>
      <c r="T459">
        <v>1</v>
      </c>
      <c r="U459" t="s">
        <v>35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tr">
        <f>IF(Table1[[#This Row],[YearsAtCompany]]&lt;1,"0-1",IF(Table1[[#This Row],[YearsAtCompany]]&lt;=3,"1-3",IF(Table1[[#This Row],[YearsAtCompany]]&lt;=6,"4-6","7+")))</f>
        <v>0-1</v>
      </c>
      <c r="AH459">
        <f>Table1[[#This Row],[MonthlyIncome]]*12*0.75</f>
        <v>16902</v>
      </c>
      <c r="AI4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459">
        <f>IF(Table1[[#This Row],[Attrition]]="Yes",Table1[[#This Row],[EstReplacementCost]],0)</f>
        <v>16902</v>
      </c>
    </row>
    <row r="460" spans="1:36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52</v>
      </c>
      <c r="R460">
        <v>10932</v>
      </c>
      <c r="S460">
        <v>11373</v>
      </c>
      <c r="T460">
        <v>3</v>
      </c>
      <c r="U460" t="s">
        <v>43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tr">
        <f>IF(Table1[[#This Row],[YearsAtCompany]]&lt;1,"0-1",IF(Table1[[#This Row],[YearsAtCompany]]&lt;=3,"1-3",IF(Table1[[#This Row],[YearsAtCompany]]&lt;=6,"4-6","7+")))</f>
        <v>1-3</v>
      </c>
      <c r="AH460">
        <f>Table1[[#This Row],[MonthlyIncome]]*12*0.75</f>
        <v>98388</v>
      </c>
      <c r="AI4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60">
        <f>IF(Table1[[#This Row],[Attrition]]="Yes",Table1[[#This Row],[EstReplacementCost]],0)</f>
        <v>0</v>
      </c>
    </row>
    <row r="461" spans="1:36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54</v>
      </c>
      <c r="P461">
        <v>3</v>
      </c>
      <c r="Q461" t="s">
        <v>41</v>
      </c>
      <c r="R461">
        <v>6811</v>
      </c>
      <c r="S461">
        <v>2112</v>
      </c>
      <c r="T461">
        <v>2</v>
      </c>
      <c r="U461" t="s">
        <v>35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tr">
        <f>IF(Table1[[#This Row],[YearsAtCompany]]&lt;1,"0-1",IF(Table1[[#This Row],[YearsAtCompany]]&lt;=3,"1-3",IF(Table1[[#This Row],[YearsAtCompany]]&lt;=6,"4-6","7+")))</f>
        <v>7+</v>
      </c>
      <c r="AH461">
        <f>Table1[[#This Row],[MonthlyIncome]]*12*0.75</f>
        <v>61299</v>
      </c>
      <c r="AI4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61">
        <f>IF(Table1[[#This Row],[Attrition]]="Yes",Table1[[#This Row],[EstReplacementCost]],0)</f>
        <v>0</v>
      </c>
    </row>
    <row r="462" spans="1:36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52</v>
      </c>
      <c r="R462">
        <v>4306</v>
      </c>
      <c r="S462">
        <v>4267</v>
      </c>
      <c r="T462">
        <v>5</v>
      </c>
      <c r="U462" t="s">
        <v>43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tr">
        <f>IF(Table1[[#This Row],[YearsAtCompany]]&lt;1,"0-1",IF(Table1[[#This Row],[YearsAtCompany]]&lt;=3,"1-3",IF(Table1[[#This Row],[YearsAtCompany]]&lt;=6,"4-6","7+")))</f>
        <v>0-1</v>
      </c>
      <c r="AH462">
        <f>Table1[[#This Row],[MonthlyIncome]]*12*0.75</f>
        <v>38754</v>
      </c>
      <c r="AI4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62">
        <f>IF(Table1[[#This Row],[Attrition]]="Yes",Table1[[#This Row],[EstReplacementCost]],0)</f>
        <v>0</v>
      </c>
    </row>
    <row r="463" spans="1:36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>
        <v>4859</v>
      </c>
      <c r="S463">
        <v>6698</v>
      </c>
      <c r="T463">
        <v>1</v>
      </c>
      <c r="U463" t="s">
        <v>43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tr">
        <f>IF(Table1[[#This Row],[YearsAtCompany]]&lt;1,"0-1",IF(Table1[[#This Row],[YearsAtCompany]]&lt;=3,"1-3",IF(Table1[[#This Row],[YearsAtCompany]]&lt;=6,"4-6","7+")))</f>
        <v>4-6</v>
      </c>
      <c r="AH463">
        <f>Table1[[#This Row],[MonthlyIncome]]*12*0.75</f>
        <v>43731</v>
      </c>
      <c r="AI4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63">
        <f>IF(Table1[[#This Row],[Attrition]]="Yes",Table1[[#This Row],[EstReplacementCost]],0)</f>
        <v>0</v>
      </c>
    </row>
    <row r="464" spans="1:36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>
        <v>5337</v>
      </c>
      <c r="S464">
        <v>19921</v>
      </c>
      <c r="T464">
        <v>1</v>
      </c>
      <c r="U464" t="s">
        <v>43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tr">
        <f>IF(Table1[[#This Row],[YearsAtCompany]]&lt;1,"0-1",IF(Table1[[#This Row],[YearsAtCompany]]&lt;=3,"1-3",IF(Table1[[#This Row],[YearsAtCompany]]&lt;=6,"4-6","7+")))</f>
        <v>7+</v>
      </c>
      <c r="AH464">
        <f>Table1[[#This Row],[MonthlyIncome]]*12*0.75</f>
        <v>48033</v>
      </c>
      <c r="AI4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64">
        <f>IF(Table1[[#This Row],[Attrition]]="Yes",Table1[[#This Row],[EstReplacementCost]],0)</f>
        <v>0</v>
      </c>
    </row>
    <row r="465" spans="1:36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50</v>
      </c>
      <c r="P465">
        <v>4</v>
      </c>
      <c r="Q465" t="s">
        <v>41</v>
      </c>
      <c r="R465">
        <v>2340</v>
      </c>
      <c r="S465">
        <v>23213</v>
      </c>
      <c r="T465">
        <v>1</v>
      </c>
      <c r="U465" t="s">
        <v>35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tr">
        <f>IF(Table1[[#This Row],[YearsAtCompany]]&lt;1,"0-1",IF(Table1[[#This Row],[YearsAtCompany]]&lt;=3,"1-3",IF(Table1[[#This Row],[YearsAtCompany]]&lt;=6,"4-6","7+")))</f>
        <v>1-3</v>
      </c>
      <c r="AH465">
        <f>Table1[[#This Row],[MonthlyIncome]]*12*0.75</f>
        <v>21060</v>
      </c>
      <c r="AI4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65">
        <f>IF(Table1[[#This Row],[Attrition]]="Yes",Table1[[#This Row],[EstReplacementCost]],0)</f>
        <v>21060</v>
      </c>
    </row>
    <row r="466" spans="1:36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53</v>
      </c>
      <c r="P466">
        <v>4</v>
      </c>
      <c r="Q466" t="s">
        <v>41</v>
      </c>
      <c r="R466">
        <v>7491</v>
      </c>
      <c r="S466">
        <v>23848</v>
      </c>
      <c r="T466">
        <v>4</v>
      </c>
      <c r="U466" t="s">
        <v>43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tr">
        <f>IF(Table1[[#This Row],[YearsAtCompany]]&lt;1,"0-1",IF(Table1[[#This Row],[YearsAtCompany]]&lt;=3,"1-3",IF(Table1[[#This Row],[YearsAtCompany]]&lt;=6,"4-6","7+")))</f>
        <v>4-6</v>
      </c>
      <c r="AH466">
        <f>Table1[[#This Row],[MonthlyIncome]]*12*0.75</f>
        <v>67419</v>
      </c>
      <c r="AI4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66">
        <f>IF(Table1[[#This Row],[Attrition]]="Yes",Table1[[#This Row],[EstReplacementCost]],0)</f>
        <v>0</v>
      </c>
    </row>
    <row r="467" spans="1:36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54</v>
      </c>
      <c r="P467">
        <v>3</v>
      </c>
      <c r="Q467" t="s">
        <v>48</v>
      </c>
      <c r="R467">
        <v>10527</v>
      </c>
      <c r="S467">
        <v>8984</v>
      </c>
      <c r="T467">
        <v>5</v>
      </c>
      <c r="U467" t="s">
        <v>43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tr">
        <f>IF(Table1[[#This Row],[YearsAtCompany]]&lt;1,"0-1",IF(Table1[[#This Row],[YearsAtCompany]]&lt;=3,"1-3",IF(Table1[[#This Row],[YearsAtCompany]]&lt;=6,"4-6","7+")))</f>
        <v>1-3</v>
      </c>
      <c r="AH467">
        <f>Table1[[#This Row],[MonthlyIncome]]*12*0.75</f>
        <v>94743</v>
      </c>
      <c r="AI4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67">
        <f>IF(Table1[[#This Row],[Attrition]]="Yes",Table1[[#This Row],[EstReplacementCost]],0)</f>
        <v>0</v>
      </c>
    </row>
    <row r="468" spans="1:36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56</v>
      </c>
      <c r="P468">
        <v>1</v>
      </c>
      <c r="Q468" t="s">
        <v>48</v>
      </c>
      <c r="R468">
        <v>16595</v>
      </c>
      <c r="S468">
        <v>5626</v>
      </c>
      <c r="T468">
        <v>7</v>
      </c>
      <c r="U468" t="s">
        <v>43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tr">
        <f>IF(Table1[[#This Row],[YearsAtCompany]]&lt;1,"0-1",IF(Table1[[#This Row],[YearsAtCompany]]&lt;=3,"1-3",IF(Table1[[#This Row],[YearsAtCompany]]&lt;=6,"4-6","7+")))</f>
        <v>7+</v>
      </c>
      <c r="AH468">
        <f>Table1[[#This Row],[MonthlyIncome]]*12*0.75</f>
        <v>149355</v>
      </c>
      <c r="AI4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68">
        <f>IF(Table1[[#This Row],[Attrition]]="Yes",Table1[[#This Row],[EstReplacementCost]],0)</f>
        <v>0</v>
      </c>
    </row>
    <row r="469" spans="1:36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52</v>
      </c>
      <c r="R469">
        <v>8834</v>
      </c>
      <c r="S469">
        <v>24666</v>
      </c>
      <c r="T469">
        <v>1</v>
      </c>
      <c r="U469" t="s">
        <v>43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tr">
        <f>IF(Table1[[#This Row],[YearsAtCompany]]&lt;1,"0-1",IF(Table1[[#This Row],[YearsAtCompany]]&lt;=3,"1-3",IF(Table1[[#This Row],[YearsAtCompany]]&lt;=6,"4-6","7+")))</f>
        <v>7+</v>
      </c>
      <c r="AH469">
        <f>Table1[[#This Row],[MonthlyIncome]]*12*0.75</f>
        <v>79506</v>
      </c>
      <c r="AI4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69">
        <f>IF(Table1[[#This Row],[Attrition]]="Yes",Table1[[#This Row],[EstReplacementCost]],0)</f>
        <v>0</v>
      </c>
    </row>
    <row r="470" spans="1:36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47</v>
      </c>
      <c r="P470">
        <v>1</v>
      </c>
      <c r="Q470" t="s">
        <v>52</v>
      </c>
      <c r="R470">
        <v>5577</v>
      </c>
      <c r="S470">
        <v>22087</v>
      </c>
      <c r="T470">
        <v>3</v>
      </c>
      <c r="U470" t="s">
        <v>35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tr">
        <f>IF(Table1[[#This Row],[YearsAtCompany]]&lt;1,"0-1",IF(Table1[[#This Row],[YearsAtCompany]]&lt;=3,"1-3",IF(Table1[[#This Row],[YearsAtCompany]]&lt;=6,"4-6","7+")))</f>
        <v>7+</v>
      </c>
      <c r="AH470">
        <f>Table1[[#This Row],[MonthlyIncome]]*12*0.75</f>
        <v>50193</v>
      </c>
      <c r="AI4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70">
        <f>IF(Table1[[#This Row],[Attrition]]="Yes",Table1[[#This Row],[EstReplacementCost]],0)</f>
        <v>0</v>
      </c>
    </row>
    <row r="471" spans="1:36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48</v>
      </c>
      <c r="R471">
        <v>4707</v>
      </c>
      <c r="S471">
        <v>23914</v>
      </c>
      <c r="T471">
        <v>8</v>
      </c>
      <c r="U471" t="s">
        <v>43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tr">
        <f>IF(Table1[[#This Row],[YearsAtCompany]]&lt;1,"0-1",IF(Table1[[#This Row],[YearsAtCompany]]&lt;=3,"1-3",IF(Table1[[#This Row],[YearsAtCompany]]&lt;=6,"4-6","7+")))</f>
        <v>4-6</v>
      </c>
      <c r="AH471">
        <f>Table1[[#This Row],[MonthlyIncome]]*12*0.75</f>
        <v>42363</v>
      </c>
      <c r="AI4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71">
        <f>IF(Table1[[#This Row],[Attrition]]="Yes",Table1[[#This Row],[EstReplacementCost]],0)</f>
        <v>42363</v>
      </c>
    </row>
    <row r="472" spans="1:36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57</v>
      </c>
      <c r="P472">
        <v>4</v>
      </c>
      <c r="Q472" t="s">
        <v>48</v>
      </c>
      <c r="R472">
        <v>2400</v>
      </c>
      <c r="S472">
        <v>5530</v>
      </c>
      <c r="T472">
        <v>0</v>
      </c>
      <c r="U472" t="s">
        <v>43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tr">
        <f>IF(Table1[[#This Row],[YearsAtCompany]]&lt;1,"0-1",IF(Table1[[#This Row],[YearsAtCompany]]&lt;=3,"1-3",IF(Table1[[#This Row],[YearsAtCompany]]&lt;=6,"4-6","7+")))</f>
        <v>1-3</v>
      </c>
      <c r="AH472">
        <f>Table1[[#This Row],[MonthlyIncome]]*12*0.75</f>
        <v>21600</v>
      </c>
      <c r="AI4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72">
        <f>IF(Table1[[#This Row],[Attrition]]="Yes",Table1[[#This Row],[EstReplacementCost]],0)</f>
        <v>0</v>
      </c>
    </row>
    <row r="473" spans="1:36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54</v>
      </c>
      <c r="P473">
        <v>3</v>
      </c>
      <c r="Q473" t="s">
        <v>48</v>
      </c>
      <c r="R473">
        <v>9824</v>
      </c>
      <c r="S473">
        <v>22174</v>
      </c>
      <c r="T473">
        <v>3</v>
      </c>
      <c r="U473" t="s">
        <v>43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tr">
        <f>IF(Table1[[#This Row],[YearsAtCompany]]&lt;1,"0-1",IF(Table1[[#This Row],[YearsAtCompany]]&lt;=3,"1-3",IF(Table1[[#This Row],[YearsAtCompany]]&lt;=6,"4-6","7+")))</f>
        <v>1-3</v>
      </c>
      <c r="AH473">
        <f>Table1[[#This Row],[MonthlyIncome]]*12*0.75</f>
        <v>88416</v>
      </c>
      <c r="AI4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73">
        <f>IF(Table1[[#This Row],[Attrition]]="Yes",Table1[[#This Row],[EstReplacementCost]],0)</f>
        <v>0</v>
      </c>
    </row>
    <row r="474" spans="1:36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53</v>
      </c>
      <c r="P474">
        <v>2</v>
      </c>
      <c r="Q474" t="s">
        <v>48</v>
      </c>
      <c r="R474">
        <v>6447</v>
      </c>
      <c r="S474">
        <v>15701</v>
      </c>
      <c r="T474">
        <v>6</v>
      </c>
      <c r="U474" t="s">
        <v>43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tr">
        <f>IF(Table1[[#This Row],[YearsAtCompany]]&lt;1,"0-1",IF(Table1[[#This Row],[YearsAtCompany]]&lt;=3,"1-3",IF(Table1[[#This Row],[YearsAtCompany]]&lt;=6,"4-6","7+")))</f>
        <v>4-6</v>
      </c>
      <c r="AH474">
        <f>Table1[[#This Row],[MonthlyIncome]]*12*0.75</f>
        <v>58023</v>
      </c>
      <c r="AI4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74">
        <f>IF(Table1[[#This Row],[Attrition]]="Yes",Table1[[#This Row],[EstReplacementCost]],0)</f>
        <v>0</v>
      </c>
    </row>
    <row r="475" spans="1:36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58</v>
      </c>
      <c r="P475">
        <v>3</v>
      </c>
      <c r="Q475" t="s">
        <v>52</v>
      </c>
      <c r="R475">
        <v>19502</v>
      </c>
      <c r="S475">
        <v>2125</v>
      </c>
      <c r="T475">
        <v>1</v>
      </c>
      <c r="U475" t="s">
        <v>35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tr">
        <f>IF(Table1[[#This Row],[YearsAtCompany]]&lt;1,"0-1",IF(Table1[[#This Row],[YearsAtCompany]]&lt;=3,"1-3",IF(Table1[[#This Row],[YearsAtCompany]]&lt;=6,"4-6","7+")))</f>
        <v>7+</v>
      </c>
      <c r="AH475">
        <f>Table1[[#This Row],[MonthlyIncome]]*12*0.75</f>
        <v>175518</v>
      </c>
      <c r="AI4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75">
        <f>IF(Table1[[#This Row],[Attrition]]="Yes",Table1[[#This Row],[EstReplacementCost]],0)</f>
        <v>0</v>
      </c>
    </row>
    <row r="476" spans="1:36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47</v>
      </c>
      <c r="P476">
        <v>4</v>
      </c>
      <c r="Q476" t="s">
        <v>48</v>
      </c>
      <c r="R476">
        <v>2725</v>
      </c>
      <c r="S476">
        <v>21630</v>
      </c>
      <c r="T476">
        <v>1</v>
      </c>
      <c r="U476" t="s">
        <v>35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tr">
        <f>IF(Table1[[#This Row],[YearsAtCompany]]&lt;1,"0-1",IF(Table1[[#This Row],[YearsAtCompany]]&lt;=3,"1-3",IF(Table1[[#This Row],[YearsAtCompany]]&lt;=6,"4-6","7+")))</f>
        <v>4-6</v>
      </c>
      <c r="AH476">
        <f>Table1[[#This Row],[MonthlyIncome]]*12*0.75</f>
        <v>24525</v>
      </c>
      <c r="AI4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76">
        <f>IF(Table1[[#This Row],[Attrition]]="Yes",Table1[[#This Row],[EstReplacementCost]],0)</f>
        <v>0</v>
      </c>
    </row>
    <row r="477" spans="1:36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48</v>
      </c>
      <c r="R477">
        <v>6272</v>
      </c>
      <c r="S477">
        <v>7428</v>
      </c>
      <c r="T477">
        <v>1</v>
      </c>
      <c r="U477" t="s">
        <v>43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tr">
        <f>IF(Table1[[#This Row],[YearsAtCompany]]&lt;1,"0-1",IF(Table1[[#This Row],[YearsAtCompany]]&lt;=3,"1-3",IF(Table1[[#This Row],[YearsAtCompany]]&lt;=6,"4-6","7+")))</f>
        <v>4-6</v>
      </c>
      <c r="AH477">
        <f>Table1[[#This Row],[MonthlyIncome]]*12*0.75</f>
        <v>56448</v>
      </c>
      <c r="AI4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77">
        <f>IF(Table1[[#This Row],[Attrition]]="Yes",Table1[[#This Row],[EstReplacementCost]],0)</f>
        <v>0</v>
      </c>
    </row>
    <row r="478" spans="1:36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50</v>
      </c>
      <c r="P478">
        <v>2</v>
      </c>
      <c r="Q478" t="s">
        <v>48</v>
      </c>
      <c r="R478">
        <v>2127</v>
      </c>
      <c r="S478">
        <v>9100</v>
      </c>
      <c r="T478">
        <v>1</v>
      </c>
      <c r="U478" t="s">
        <v>43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tr">
        <f>IF(Table1[[#This Row],[YearsAtCompany]]&lt;1,"0-1",IF(Table1[[#This Row],[YearsAtCompany]]&lt;=3,"1-3",IF(Table1[[#This Row],[YearsAtCompany]]&lt;=6,"4-6","7+")))</f>
        <v>1-3</v>
      </c>
      <c r="AH478">
        <f>Table1[[#This Row],[MonthlyIncome]]*12*0.75</f>
        <v>19143</v>
      </c>
      <c r="AI4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78">
        <f>IF(Table1[[#This Row],[Attrition]]="Yes",Table1[[#This Row],[EstReplacementCost]],0)</f>
        <v>0</v>
      </c>
    </row>
    <row r="479" spans="1:36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56</v>
      </c>
      <c r="P479">
        <v>2</v>
      </c>
      <c r="Q479" t="s">
        <v>48</v>
      </c>
      <c r="R479">
        <v>18200</v>
      </c>
      <c r="S479">
        <v>7999</v>
      </c>
      <c r="T479">
        <v>1</v>
      </c>
      <c r="U479" t="s">
        <v>43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tr">
        <f>IF(Table1[[#This Row],[YearsAtCompany]]&lt;1,"0-1",IF(Table1[[#This Row],[YearsAtCompany]]&lt;=3,"1-3",IF(Table1[[#This Row],[YearsAtCompany]]&lt;=6,"4-6","7+")))</f>
        <v>7+</v>
      </c>
      <c r="AH479">
        <f>Table1[[#This Row],[MonthlyIncome]]*12*0.75</f>
        <v>163800</v>
      </c>
      <c r="AI4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79">
        <f>IF(Table1[[#This Row],[Attrition]]="Yes",Table1[[#This Row],[EstReplacementCost]],0)</f>
        <v>0</v>
      </c>
    </row>
    <row r="480" spans="1:36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57</v>
      </c>
      <c r="P480">
        <v>3</v>
      </c>
      <c r="Q480" t="s">
        <v>48</v>
      </c>
      <c r="R480">
        <v>2096</v>
      </c>
      <c r="S480">
        <v>26376</v>
      </c>
      <c r="T480">
        <v>1</v>
      </c>
      <c r="U480" t="s">
        <v>43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tr">
        <f>IF(Table1[[#This Row],[YearsAtCompany]]&lt;1,"0-1",IF(Table1[[#This Row],[YearsAtCompany]]&lt;=3,"1-3",IF(Table1[[#This Row],[YearsAtCompany]]&lt;=6,"4-6","7+")))</f>
        <v>7+</v>
      </c>
      <c r="AH480">
        <f>Table1[[#This Row],[MonthlyIncome]]*12*0.75</f>
        <v>18864</v>
      </c>
      <c r="AI4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80">
        <f>IF(Table1[[#This Row],[Attrition]]="Yes",Table1[[#This Row],[EstReplacementCost]],0)</f>
        <v>0</v>
      </c>
    </row>
    <row r="481" spans="1:36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50</v>
      </c>
      <c r="P481">
        <v>3</v>
      </c>
      <c r="Q481" t="s">
        <v>48</v>
      </c>
      <c r="R481">
        <v>2886</v>
      </c>
      <c r="S481">
        <v>14168</v>
      </c>
      <c r="T481">
        <v>1</v>
      </c>
      <c r="U481" t="s">
        <v>35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tr">
        <f>IF(Table1[[#This Row],[YearsAtCompany]]&lt;1,"0-1",IF(Table1[[#This Row],[YearsAtCompany]]&lt;=3,"1-3",IF(Table1[[#This Row],[YearsAtCompany]]&lt;=6,"4-6","7+")))</f>
        <v>4-6</v>
      </c>
      <c r="AH481">
        <f>Table1[[#This Row],[MonthlyIncome]]*12*0.75</f>
        <v>25974</v>
      </c>
      <c r="AI4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81">
        <f>IF(Table1[[#This Row],[Attrition]]="Yes",Table1[[#This Row],[EstReplacementCost]],0)</f>
        <v>25974</v>
      </c>
    </row>
    <row r="482" spans="1:36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57</v>
      </c>
      <c r="P482">
        <v>1</v>
      </c>
      <c r="Q482" t="s">
        <v>48</v>
      </c>
      <c r="R482">
        <v>2033</v>
      </c>
      <c r="S482">
        <v>14470</v>
      </c>
      <c r="T482">
        <v>1</v>
      </c>
      <c r="U482" t="s">
        <v>43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tr">
        <f>IF(Table1[[#This Row],[YearsAtCompany]]&lt;1,"0-1",IF(Table1[[#This Row],[YearsAtCompany]]&lt;=3,"1-3",IF(Table1[[#This Row],[YearsAtCompany]]&lt;=6,"4-6","7+")))</f>
        <v>1-3</v>
      </c>
      <c r="AH482">
        <f>Table1[[#This Row],[MonthlyIncome]]*12*0.75</f>
        <v>18297</v>
      </c>
      <c r="AI4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82">
        <f>IF(Table1[[#This Row],[Attrition]]="Yes",Table1[[#This Row],[EstReplacementCost]],0)</f>
        <v>18297</v>
      </c>
    </row>
    <row r="483" spans="1:36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47</v>
      </c>
      <c r="P483">
        <v>4</v>
      </c>
      <c r="Q483" t="s">
        <v>48</v>
      </c>
      <c r="R483">
        <v>3622</v>
      </c>
      <c r="S483">
        <v>22794</v>
      </c>
      <c r="T483">
        <v>1</v>
      </c>
      <c r="U483" t="s">
        <v>35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tr">
        <f>IF(Table1[[#This Row],[YearsAtCompany]]&lt;1,"0-1",IF(Table1[[#This Row],[YearsAtCompany]]&lt;=3,"1-3",IF(Table1[[#This Row],[YearsAtCompany]]&lt;=6,"4-6","7+")))</f>
        <v>4-6</v>
      </c>
      <c r="AH483">
        <f>Table1[[#This Row],[MonthlyIncome]]*12*0.75</f>
        <v>32598</v>
      </c>
      <c r="AI4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83">
        <f>IF(Table1[[#This Row],[Attrition]]="Yes",Table1[[#This Row],[EstReplacementCost]],0)</f>
        <v>0</v>
      </c>
    </row>
    <row r="484" spans="1:36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52</v>
      </c>
      <c r="R484">
        <v>4233</v>
      </c>
      <c r="S484">
        <v>11512</v>
      </c>
      <c r="T484">
        <v>2</v>
      </c>
      <c r="U484" t="s">
        <v>43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tr">
        <f>IF(Table1[[#This Row],[YearsAtCompany]]&lt;1,"0-1",IF(Table1[[#This Row],[YearsAtCompany]]&lt;=3,"1-3",IF(Table1[[#This Row],[YearsAtCompany]]&lt;=6,"4-6","7+")))</f>
        <v>1-3</v>
      </c>
      <c r="AH484">
        <f>Table1[[#This Row],[MonthlyIncome]]*12*0.75</f>
        <v>38097</v>
      </c>
      <c r="AI4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84">
        <f>IF(Table1[[#This Row],[Attrition]]="Yes",Table1[[#This Row],[EstReplacementCost]],0)</f>
        <v>38097</v>
      </c>
    </row>
    <row r="485" spans="1:36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50</v>
      </c>
      <c r="P485">
        <v>4</v>
      </c>
      <c r="Q485" t="s">
        <v>41</v>
      </c>
      <c r="R485">
        <v>3681</v>
      </c>
      <c r="S485">
        <v>14004</v>
      </c>
      <c r="T485">
        <v>4</v>
      </c>
      <c r="U485" t="s">
        <v>43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tr">
        <f>IF(Table1[[#This Row],[YearsAtCompany]]&lt;1,"0-1",IF(Table1[[#This Row],[YearsAtCompany]]&lt;=3,"1-3",IF(Table1[[#This Row],[YearsAtCompany]]&lt;=6,"4-6","7+")))</f>
        <v>1-3</v>
      </c>
      <c r="AH485">
        <f>Table1[[#This Row],[MonthlyIncome]]*12*0.75</f>
        <v>33129</v>
      </c>
      <c r="AI4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85">
        <f>IF(Table1[[#This Row],[Attrition]]="Yes",Table1[[#This Row],[EstReplacementCost]],0)</f>
        <v>0</v>
      </c>
    </row>
    <row r="486" spans="1:36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52</v>
      </c>
      <c r="R486">
        <v>5460</v>
      </c>
      <c r="S486">
        <v>6219</v>
      </c>
      <c r="T486">
        <v>4</v>
      </c>
      <c r="U486" t="s">
        <v>43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tr">
        <f>IF(Table1[[#This Row],[YearsAtCompany]]&lt;1,"0-1",IF(Table1[[#This Row],[YearsAtCompany]]&lt;=3,"1-3",IF(Table1[[#This Row],[YearsAtCompany]]&lt;=6,"4-6","7+")))</f>
        <v>7+</v>
      </c>
      <c r="AH486">
        <f>Table1[[#This Row],[MonthlyIncome]]*12*0.75</f>
        <v>49140</v>
      </c>
      <c r="AI4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86">
        <f>IF(Table1[[#This Row],[Attrition]]="Yes",Table1[[#This Row],[EstReplacementCost]],0)</f>
        <v>0</v>
      </c>
    </row>
    <row r="487" spans="1:36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47</v>
      </c>
      <c r="P487">
        <v>3</v>
      </c>
      <c r="Q487" t="s">
        <v>52</v>
      </c>
      <c r="R487">
        <v>2187</v>
      </c>
      <c r="S487">
        <v>5013</v>
      </c>
      <c r="T487">
        <v>0</v>
      </c>
      <c r="U487" t="s">
        <v>43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tr">
        <f>IF(Table1[[#This Row],[YearsAtCompany]]&lt;1,"0-1",IF(Table1[[#This Row],[YearsAtCompany]]&lt;=3,"1-3",IF(Table1[[#This Row],[YearsAtCompany]]&lt;=6,"4-6","7+")))</f>
        <v>4-6</v>
      </c>
      <c r="AH487">
        <f>Table1[[#This Row],[MonthlyIncome]]*12*0.75</f>
        <v>19683</v>
      </c>
      <c r="AI4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87">
        <f>IF(Table1[[#This Row],[Attrition]]="Yes",Table1[[#This Row],[EstReplacementCost]],0)</f>
        <v>0</v>
      </c>
    </row>
    <row r="488" spans="1:36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48</v>
      </c>
      <c r="R488">
        <v>9602</v>
      </c>
      <c r="S488">
        <v>3010</v>
      </c>
      <c r="T488">
        <v>4</v>
      </c>
      <c r="U488" t="s">
        <v>35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tr">
        <f>IF(Table1[[#This Row],[YearsAtCompany]]&lt;1,"0-1",IF(Table1[[#This Row],[YearsAtCompany]]&lt;=3,"1-3",IF(Table1[[#This Row],[YearsAtCompany]]&lt;=6,"4-6","7+")))</f>
        <v>1-3</v>
      </c>
      <c r="AH488">
        <f>Table1[[#This Row],[MonthlyIncome]]*12*0.75</f>
        <v>86418</v>
      </c>
      <c r="AI4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88">
        <f>IF(Table1[[#This Row],[Attrition]]="Yes",Table1[[#This Row],[EstReplacementCost]],0)</f>
        <v>0</v>
      </c>
    </row>
    <row r="489" spans="1:36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47</v>
      </c>
      <c r="P489">
        <v>2</v>
      </c>
      <c r="Q489" t="s">
        <v>41</v>
      </c>
      <c r="R489">
        <v>2836</v>
      </c>
      <c r="S489">
        <v>11757</v>
      </c>
      <c r="T489">
        <v>1</v>
      </c>
      <c r="U489" t="s">
        <v>43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tr">
        <f>IF(Table1[[#This Row],[YearsAtCompany]]&lt;1,"0-1",IF(Table1[[#This Row],[YearsAtCompany]]&lt;=3,"1-3",IF(Table1[[#This Row],[YearsAtCompany]]&lt;=6,"4-6","7+")))</f>
        <v>1-3</v>
      </c>
      <c r="AH489">
        <f>Table1[[#This Row],[MonthlyIncome]]*12*0.75</f>
        <v>25524</v>
      </c>
      <c r="AI4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89">
        <f>IF(Table1[[#This Row],[Attrition]]="Yes",Table1[[#This Row],[EstReplacementCost]],0)</f>
        <v>0</v>
      </c>
    </row>
    <row r="490" spans="1:36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54</v>
      </c>
      <c r="P490">
        <v>4</v>
      </c>
      <c r="Q490" t="s">
        <v>48</v>
      </c>
      <c r="R490">
        <v>4089</v>
      </c>
      <c r="S490">
        <v>5718</v>
      </c>
      <c r="T490">
        <v>1</v>
      </c>
      <c r="U490" t="s">
        <v>43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tr">
        <f>IF(Table1[[#This Row],[YearsAtCompany]]&lt;1,"0-1",IF(Table1[[#This Row],[YearsAtCompany]]&lt;=3,"1-3",IF(Table1[[#This Row],[YearsAtCompany]]&lt;=6,"4-6","7+")))</f>
        <v>7+</v>
      </c>
      <c r="AH490">
        <f>Table1[[#This Row],[MonthlyIncome]]*12*0.75</f>
        <v>36801</v>
      </c>
      <c r="AI4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90">
        <f>IF(Table1[[#This Row],[Attrition]]="Yes",Table1[[#This Row],[EstReplacementCost]],0)</f>
        <v>0</v>
      </c>
    </row>
    <row r="491" spans="1:36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58</v>
      </c>
      <c r="P491">
        <v>4</v>
      </c>
      <c r="Q491" t="s">
        <v>52</v>
      </c>
      <c r="R491">
        <v>16627</v>
      </c>
      <c r="S491">
        <v>2671</v>
      </c>
      <c r="T491">
        <v>4</v>
      </c>
      <c r="U491" t="s">
        <v>35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tr">
        <f>IF(Table1[[#This Row],[YearsAtCompany]]&lt;1,"0-1",IF(Table1[[#This Row],[YearsAtCompany]]&lt;=3,"1-3",IF(Table1[[#This Row],[YearsAtCompany]]&lt;=6,"4-6","7+")))</f>
        <v>1-3</v>
      </c>
      <c r="AH491">
        <f>Table1[[#This Row],[MonthlyIncome]]*12*0.75</f>
        <v>149643</v>
      </c>
      <c r="AI4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91">
        <f>IF(Table1[[#This Row],[Attrition]]="Yes",Table1[[#This Row],[EstReplacementCost]],0)</f>
        <v>0</v>
      </c>
    </row>
    <row r="492" spans="1:36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47</v>
      </c>
      <c r="P492">
        <v>1</v>
      </c>
      <c r="Q492" t="s">
        <v>41</v>
      </c>
      <c r="R492">
        <v>2619</v>
      </c>
      <c r="S492">
        <v>14561</v>
      </c>
      <c r="T492">
        <v>3</v>
      </c>
      <c r="U492" t="s">
        <v>43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tr">
        <f>IF(Table1[[#This Row],[YearsAtCompany]]&lt;1,"0-1",IF(Table1[[#This Row],[YearsAtCompany]]&lt;=3,"1-3",IF(Table1[[#This Row],[YearsAtCompany]]&lt;=6,"4-6","7+")))</f>
        <v>0-1</v>
      </c>
      <c r="AH492">
        <f>Table1[[#This Row],[MonthlyIncome]]*12*0.75</f>
        <v>23571</v>
      </c>
      <c r="AI4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92">
        <f>IF(Table1[[#This Row],[Attrition]]="Yes",Table1[[#This Row],[EstReplacementCost]],0)</f>
        <v>0</v>
      </c>
    </row>
    <row r="493" spans="1:36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50</v>
      </c>
      <c r="P493">
        <v>3</v>
      </c>
      <c r="Q493" t="s">
        <v>52</v>
      </c>
      <c r="R493">
        <v>5679</v>
      </c>
      <c r="S493">
        <v>19627</v>
      </c>
      <c r="T493">
        <v>3</v>
      </c>
      <c r="U493" t="s">
        <v>35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tr">
        <f>IF(Table1[[#This Row],[YearsAtCompany]]&lt;1,"0-1",IF(Table1[[#This Row],[YearsAtCompany]]&lt;=3,"1-3",IF(Table1[[#This Row],[YearsAtCompany]]&lt;=6,"4-6","7+")))</f>
        <v>7+</v>
      </c>
      <c r="AH493">
        <f>Table1[[#This Row],[MonthlyIncome]]*12*0.75</f>
        <v>51111</v>
      </c>
      <c r="AI4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93">
        <f>IF(Table1[[#This Row],[Attrition]]="Yes",Table1[[#This Row],[EstReplacementCost]],0)</f>
        <v>0</v>
      </c>
    </row>
    <row r="494" spans="1:36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56</v>
      </c>
      <c r="P494">
        <v>1</v>
      </c>
      <c r="Q494" t="s">
        <v>48</v>
      </c>
      <c r="R494">
        <v>15402</v>
      </c>
      <c r="S494">
        <v>17997</v>
      </c>
      <c r="T494">
        <v>7</v>
      </c>
      <c r="U494" t="s">
        <v>43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tr">
        <f>IF(Table1[[#This Row],[YearsAtCompany]]&lt;1,"0-1",IF(Table1[[#This Row],[YearsAtCompany]]&lt;=3,"1-3",IF(Table1[[#This Row],[YearsAtCompany]]&lt;=6,"4-6","7+")))</f>
        <v>1-3</v>
      </c>
      <c r="AH494">
        <f>Table1[[#This Row],[MonthlyIncome]]*12*0.75</f>
        <v>138618</v>
      </c>
      <c r="AI4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94">
        <f>IF(Table1[[#This Row],[Attrition]]="Yes",Table1[[#This Row],[EstReplacementCost]],0)</f>
        <v>0</v>
      </c>
    </row>
    <row r="495" spans="1:36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61</v>
      </c>
      <c r="P495">
        <v>3</v>
      </c>
      <c r="Q495" t="s">
        <v>41</v>
      </c>
      <c r="R495">
        <v>5985</v>
      </c>
      <c r="S495">
        <v>26894</v>
      </c>
      <c r="T495">
        <v>4</v>
      </c>
      <c r="U495" t="s">
        <v>43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tr">
        <f>IF(Table1[[#This Row],[YearsAtCompany]]&lt;1,"0-1",IF(Table1[[#This Row],[YearsAtCompany]]&lt;=3,"1-3",IF(Table1[[#This Row],[YearsAtCompany]]&lt;=6,"4-6","7+")))</f>
        <v>1-3</v>
      </c>
      <c r="AH495">
        <f>Table1[[#This Row],[MonthlyIncome]]*12*0.75</f>
        <v>53865</v>
      </c>
      <c r="AI4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95">
        <f>IF(Table1[[#This Row],[Attrition]]="Yes",Table1[[#This Row],[EstReplacementCost]],0)</f>
        <v>0</v>
      </c>
    </row>
    <row r="496" spans="1:36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57</v>
      </c>
      <c r="P496">
        <v>3</v>
      </c>
      <c r="Q496" t="s">
        <v>52</v>
      </c>
      <c r="R496">
        <v>2579</v>
      </c>
      <c r="S496">
        <v>2912</v>
      </c>
      <c r="T496">
        <v>1</v>
      </c>
      <c r="U496" t="s">
        <v>35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tr">
        <f>IF(Table1[[#This Row],[YearsAtCompany]]&lt;1,"0-1",IF(Table1[[#This Row],[YearsAtCompany]]&lt;=3,"1-3",IF(Table1[[#This Row],[YearsAtCompany]]&lt;=6,"4-6","7+")))</f>
        <v>7+</v>
      </c>
      <c r="AH496">
        <f>Table1[[#This Row],[MonthlyIncome]]*12*0.75</f>
        <v>23211</v>
      </c>
      <c r="AI4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96">
        <f>IF(Table1[[#This Row],[Attrition]]="Yes",Table1[[#This Row],[EstReplacementCost]],0)</f>
        <v>0</v>
      </c>
    </row>
    <row r="497" spans="1:36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57</v>
      </c>
      <c r="P497">
        <v>1</v>
      </c>
      <c r="Q497" t="s">
        <v>52</v>
      </c>
      <c r="R497">
        <v>3041</v>
      </c>
      <c r="S497">
        <v>16346</v>
      </c>
      <c r="T497">
        <v>0</v>
      </c>
      <c r="U497" t="s">
        <v>43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tr">
        <f>IF(Table1[[#This Row],[YearsAtCompany]]&lt;1,"0-1",IF(Table1[[#This Row],[YearsAtCompany]]&lt;=3,"1-3",IF(Table1[[#This Row],[YearsAtCompany]]&lt;=6,"4-6","7+")))</f>
        <v>4-6</v>
      </c>
      <c r="AH497">
        <f>Table1[[#This Row],[MonthlyIncome]]*12*0.75</f>
        <v>27369</v>
      </c>
      <c r="AI4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97">
        <f>IF(Table1[[#This Row],[Attrition]]="Yes",Table1[[#This Row],[EstReplacementCost]],0)</f>
        <v>27369</v>
      </c>
    </row>
    <row r="498" spans="1:36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57</v>
      </c>
      <c r="P498">
        <v>3</v>
      </c>
      <c r="Q498" t="s">
        <v>41</v>
      </c>
      <c r="R498">
        <v>3447</v>
      </c>
      <c r="S498">
        <v>24444</v>
      </c>
      <c r="T498">
        <v>1</v>
      </c>
      <c r="U498" t="s">
        <v>43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tr">
        <f>IF(Table1[[#This Row],[YearsAtCompany]]&lt;1,"0-1",IF(Table1[[#This Row],[YearsAtCompany]]&lt;=3,"1-3",IF(Table1[[#This Row],[YearsAtCompany]]&lt;=6,"4-6","7+")))</f>
        <v>1-3</v>
      </c>
      <c r="AH498">
        <f>Table1[[#This Row],[MonthlyIncome]]*12*0.75</f>
        <v>31023</v>
      </c>
      <c r="AI4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498">
        <f>IF(Table1[[#This Row],[Attrition]]="Yes",Table1[[#This Row],[EstReplacementCost]],0)</f>
        <v>0</v>
      </c>
    </row>
    <row r="499" spans="1:36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56</v>
      </c>
      <c r="P499">
        <v>4</v>
      </c>
      <c r="Q499" t="s">
        <v>48</v>
      </c>
      <c r="R499">
        <v>19513</v>
      </c>
      <c r="S499">
        <v>9358</v>
      </c>
      <c r="T499">
        <v>4</v>
      </c>
      <c r="U499" t="s">
        <v>35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tr">
        <f>IF(Table1[[#This Row],[YearsAtCompany]]&lt;1,"0-1",IF(Table1[[#This Row],[YearsAtCompany]]&lt;=3,"1-3",IF(Table1[[#This Row],[YearsAtCompany]]&lt;=6,"4-6","7+")))</f>
        <v>1-3</v>
      </c>
      <c r="AH499">
        <f>Table1[[#This Row],[MonthlyIncome]]*12*0.75</f>
        <v>175617</v>
      </c>
      <c r="AI4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499">
        <f>IF(Table1[[#This Row],[Attrition]]="Yes",Table1[[#This Row],[EstReplacementCost]],0)</f>
        <v>0</v>
      </c>
    </row>
    <row r="500" spans="1:36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47</v>
      </c>
      <c r="P500">
        <v>3</v>
      </c>
      <c r="Q500" t="s">
        <v>48</v>
      </c>
      <c r="R500">
        <v>2773</v>
      </c>
      <c r="S500">
        <v>12145</v>
      </c>
      <c r="T500">
        <v>0</v>
      </c>
      <c r="U500" t="s">
        <v>43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tr">
        <f>IF(Table1[[#This Row],[YearsAtCompany]]&lt;1,"0-1",IF(Table1[[#This Row],[YearsAtCompany]]&lt;=3,"1-3",IF(Table1[[#This Row],[YearsAtCompany]]&lt;=6,"4-6","7+")))</f>
        <v>1-3</v>
      </c>
      <c r="AH500">
        <f>Table1[[#This Row],[MonthlyIncome]]*12*0.75</f>
        <v>24957</v>
      </c>
      <c r="AI5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00">
        <f>IF(Table1[[#This Row],[Attrition]]="Yes",Table1[[#This Row],[EstReplacementCost]],0)</f>
        <v>0</v>
      </c>
    </row>
    <row r="501" spans="1:36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52</v>
      </c>
      <c r="R501">
        <v>7104</v>
      </c>
      <c r="S501">
        <v>20431</v>
      </c>
      <c r="T501">
        <v>0</v>
      </c>
      <c r="U501" t="s">
        <v>43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tr">
        <f>IF(Table1[[#This Row],[YearsAtCompany]]&lt;1,"0-1",IF(Table1[[#This Row],[YearsAtCompany]]&lt;=3,"1-3",IF(Table1[[#This Row],[YearsAtCompany]]&lt;=6,"4-6","7+")))</f>
        <v>4-6</v>
      </c>
      <c r="AH501">
        <f>Table1[[#This Row],[MonthlyIncome]]*12*0.75</f>
        <v>63936</v>
      </c>
      <c r="AI5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01">
        <f>IF(Table1[[#This Row],[Attrition]]="Yes",Table1[[#This Row],[EstReplacementCost]],0)</f>
        <v>0</v>
      </c>
    </row>
    <row r="502" spans="1:36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47</v>
      </c>
      <c r="P502">
        <v>4</v>
      </c>
      <c r="Q502" t="s">
        <v>48</v>
      </c>
      <c r="R502">
        <v>6322</v>
      </c>
      <c r="S502">
        <v>18089</v>
      </c>
      <c r="T502">
        <v>1</v>
      </c>
      <c r="U502" t="s">
        <v>35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tr">
        <f>IF(Table1[[#This Row],[YearsAtCompany]]&lt;1,"0-1",IF(Table1[[#This Row],[YearsAtCompany]]&lt;=3,"1-3",IF(Table1[[#This Row],[YearsAtCompany]]&lt;=6,"4-6","7+")))</f>
        <v>4-6</v>
      </c>
      <c r="AH502">
        <f>Table1[[#This Row],[MonthlyIncome]]*12*0.75</f>
        <v>56898</v>
      </c>
      <c r="AI5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02">
        <f>IF(Table1[[#This Row],[Attrition]]="Yes",Table1[[#This Row],[EstReplacementCost]],0)</f>
        <v>0</v>
      </c>
    </row>
    <row r="503" spans="1:36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47</v>
      </c>
      <c r="P503">
        <v>3</v>
      </c>
      <c r="Q503" t="s">
        <v>52</v>
      </c>
      <c r="R503">
        <v>2083</v>
      </c>
      <c r="S503">
        <v>22653</v>
      </c>
      <c r="T503">
        <v>1</v>
      </c>
      <c r="U503" t="s">
        <v>43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tr">
        <f>IF(Table1[[#This Row],[YearsAtCompany]]&lt;1,"0-1",IF(Table1[[#This Row],[YearsAtCompany]]&lt;=3,"1-3",IF(Table1[[#This Row],[YearsAtCompany]]&lt;=6,"4-6","7+")))</f>
        <v>1-3</v>
      </c>
      <c r="AH503">
        <f>Table1[[#This Row],[MonthlyIncome]]*12*0.75</f>
        <v>18747</v>
      </c>
      <c r="AI5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03">
        <f>IF(Table1[[#This Row],[Attrition]]="Yes",Table1[[#This Row],[EstReplacementCost]],0)</f>
        <v>0</v>
      </c>
    </row>
    <row r="504" spans="1:36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>
        <v>8381</v>
      </c>
      <c r="S504">
        <v>7507</v>
      </c>
      <c r="T504">
        <v>7</v>
      </c>
      <c r="U504" t="s">
        <v>43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tr">
        <f>IF(Table1[[#This Row],[YearsAtCompany]]&lt;1,"0-1",IF(Table1[[#This Row],[YearsAtCompany]]&lt;=3,"1-3",IF(Table1[[#This Row],[YearsAtCompany]]&lt;=6,"4-6","7+")))</f>
        <v>7+</v>
      </c>
      <c r="AH504">
        <f>Table1[[#This Row],[MonthlyIncome]]*12*0.75</f>
        <v>75429</v>
      </c>
      <c r="AI5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04">
        <f>IF(Table1[[#This Row],[Attrition]]="Yes",Table1[[#This Row],[EstReplacementCost]],0)</f>
        <v>0</v>
      </c>
    </row>
    <row r="505" spans="1:36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47</v>
      </c>
      <c r="P505">
        <v>4</v>
      </c>
      <c r="Q505" t="s">
        <v>48</v>
      </c>
      <c r="R505">
        <v>2691</v>
      </c>
      <c r="S505">
        <v>7660</v>
      </c>
      <c r="T505">
        <v>1</v>
      </c>
      <c r="U505" t="s">
        <v>43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tr">
        <f>IF(Table1[[#This Row],[YearsAtCompany]]&lt;1,"0-1",IF(Table1[[#This Row],[YearsAtCompany]]&lt;=3,"1-3",IF(Table1[[#This Row],[YearsAtCompany]]&lt;=6,"4-6","7+")))</f>
        <v>7+</v>
      </c>
      <c r="AH505">
        <f>Table1[[#This Row],[MonthlyIncome]]*12*0.75</f>
        <v>24219</v>
      </c>
      <c r="AI5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05">
        <f>IF(Table1[[#This Row],[Attrition]]="Yes",Table1[[#This Row],[EstReplacementCost]],0)</f>
        <v>0</v>
      </c>
    </row>
    <row r="506" spans="1:36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48</v>
      </c>
      <c r="R506">
        <v>4286</v>
      </c>
      <c r="S506">
        <v>5630</v>
      </c>
      <c r="T506">
        <v>2</v>
      </c>
      <c r="U506" t="s">
        <v>43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tr">
        <f>IF(Table1[[#This Row],[YearsAtCompany]]&lt;1,"0-1",IF(Table1[[#This Row],[YearsAtCompany]]&lt;=3,"1-3",IF(Table1[[#This Row],[YearsAtCompany]]&lt;=6,"4-6","7+")))</f>
        <v>1-3</v>
      </c>
      <c r="AH506">
        <f>Table1[[#This Row],[MonthlyIncome]]*12*0.75</f>
        <v>38574</v>
      </c>
      <c r="AI5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06">
        <f>IF(Table1[[#This Row],[Attrition]]="Yes",Table1[[#This Row],[EstReplacementCost]],0)</f>
        <v>38574</v>
      </c>
    </row>
    <row r="507" spans="1:36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50</v>
      </c>
      <c r="P507">
        <v>4</v>
      </c>
      <c r="Q507" t="s">
        <v>48</v>
      </c>
      <c r="R507">
        <v>2659</v>
      </c>
      <c r="S507">
        <v>17759</v>
      </c>
      <c r="T507">
        <v>1</v>
      </c>
      <c r="U507" t="s">
        <v>35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tr">
        <f>IF(Table1[[#This Row],[YearsAtCompany]]&lt;1,"0-1",IF(Table1[[#This Row],[YearsAtCompany]]&lt;=3,"1-3",IF(Table1[[#This Row],[YearsAtCompany]]&lt;=6,"4-6","7+")))</f>
        <v>1-3</v>
      </c>
      <c r="AH507">
        <f>Table1[[#This Row],[MonthlyIncome]]*12*0.75</f>
        <v>23931</v>
      </c>
      <c r="AI5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07">
        <f>IF(Table1[[#This Row],[Attrition]]="Yes",Table1[[#This Row],[EstReplacementCost]],0)</f>
        <v>0</v>
      </c>
    </row>
    <row r="508" spans="1:36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53</v>
      </c>
      <c r="P508">
        <v>3</v>
      </c>
      <c r="Q508" t="s">
        <v>48</v>
      </c>
      <c r="R508">
        <v>9434</v>
      </c>
      <c r="S508">
        <v>9606</v>
      </c>
      <c r="T508">
        <v>1</v>
      </c>
      <c r="U508" t="s">
        <v>43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tr">
        <f>IF(Table1[[#This Row],[YearsAtCompany]]&lt;1,"0-1",IF(Table1[[#This Row],[YearsAtCompany]]&lt;=3,"1-3",IF(Table1[[#This Row],[YearsAtCompany]]&lt;=6,"4-6","7+")))</f>
        <v>7+</v>
      </c>
      <c r="AH508">
        <f>Table1[[#This Row],[MonthlyIncome]]*12*0.75</f>
        <v>84906</v>
      </c>
      <c r="AI5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08">
        <f>IF(Table1[[#This Row],[Attrition]]="Yes",Table1[[#This Row],[EstReplacementCost]],0)</f>
        <v>0</v>
      </c>
    </row>
    <row r="509" spans="1:36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48</v>
      </c>
      <c r="R509">
        <v>5561</v>
      </c>
      <c r="S509">
        <v>3487</v>
      </c>
      <c r="T509">
        <v>1</v>
      </c>
      <c r="U509" t="s">
        <v>43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tr">
        <f>IF(Table1[[#This Row],[YearsAtCompany]]&lt;1,"0-1",IF(Table1[[#This Row],[YearsAtCompany]]&lt;=3,"1-3",IF(Table1[[#This Row],[YearsAtCompany]]&lt;=6,"4-6","7+")))</f>
        <v>4-6</v>
      </c>
      <c r="AH509">
        <f>Table1[[#This Row],[MonthlyIncome]]*12*0.75</f>
        <v>50049</v>
      </c>
      <c r="AI5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09">
        <f>IF(Table1[[#This Row],[Attrition]]="Yes",Table1[[#This Row],[EstReplacementCost]],0)</f>
        <v>0</v>
      </c>
    </row>
    <row r="510" spans="1:36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47</v>
      </c>
      <c r="P510">
        <v>4</v>
      </c>
      <c r="Q510" t="s">
        <v>41</v>
      </c>
      <c r="R510">
        <v>6646</v>
      </c>
      <c r="S510">
        <v>19368</v>
      </c>
      <c r="T510">
        <v>1</v>
      </c>
      <c r="U510" t="s">
        <v>43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tr">
        <f>IF(Table1[[#This Row],[YearsAtCompany]]&lt;1,"0-1",IF(Table1[[#This Row],[YearsAtCompany]]&lt;=3,"1-3",IF(Table1[[#This Row],[YearsAtCompany]]&lt;=6,"4-6","7+")))</f>
        <v>7+</v>
      </c>
      <c r="AH510">
        <f>Table1[[#This Row],[MonthlyIncome]]*12*0.75</f>
        <v>59814</v>
      </c>
      <c r="AI5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10">
        <f>IF(Table1[[#This Row],[Attrition]]="Yes",Table1[[#This Row],[EstReplacementCost]],0)</f>
        <v>0</v>
      </c>
    </row>
    <row r="511" spans="1:36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54</v>
      </c>
      <c r="P511">
        <v>4</v>
      </c>
      <c r="Q511" t="s">
        <v>52</v>
      </c>
      <c r="R511">
        <v>7725</v>
      </c>
      <c r="S511">
        <v>5335</v>
      </c>
      <c r="T511">
        <v>3</v>
      </c>
      <c r="U511" t="s">
        <v>43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tr">
        <f>IF(Table1[[#This Row],[YearsAtCompany]]&lt;1,"0-1",IF(Table1[[#This Row],[YearsAtCompany]]&lt;=3,"1-3",IF(Table1[[#This Row],[YearsAtCompany]]&lt;=6,"4-6","7+")))</f>
        <v>7+</v>
      </c>
      <c r="AH511">
        <f>Table1[[#This Row],[MonthlyIncome]]*12*0.75</f>
        <v>69525</v>
      </c>
      <c r="AI5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11">
        <f>IF(Table1[[#This Row],[Attrition]]="Yes",Table1[[#This Row],[EstReplacementCost]],0)</f>
        <v>0</v>
      </c>
    </row>
    <row r="512" spans="1:36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61</v>
      </c>
      <c r="P512">
        <v>2</v>
      </c>
      <c r="Q512" t="s">
        <v>48</v>
      </c>
      <c r="R512">
        <v>10725</v>
      </c>
      <c r="S512">
        <v>6729</v>
      </c>
      <c r="T512">
        <v>2</v>
      </c>
      <c r="U512" t="s">
        <v>43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tr">
        <f>IF(Table1[[#This Row],[YearsAtCompany]]&lt;1,"0-1",IF(Table1[[#This Row],[YearsAtCompany]]&lt;=3,"1-3",IF(Table1[[#This Row],[YearsAtCompany]]&lt;=6,"4-6","7+")))</f>
        <v>7+</v>
      </c>
      <c r="AH512">
        <f>Table1[[#This Row],[MonthlyIncome]]*12*0.75</f>
        <v>96525</v>
      </c>
      <c r="AI5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12">
        <f>IF(Table1[[#This Row],[Attrition]]="Yes",Table1[[#This Row],[EstReplacementCost]],0)</f>
        <v>0</v>
      </c>
    </row>
    <row r="513" spans="1:36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53</v>
      </c>
      <c r="P513">
        <v>2</v>
      </c>
      <c r="Q513" t="s">
        <v>52</v>
      </c>
      <c r="R513">
        <v>8847</v>
      </c>
      <c r="S513">
        <v>13934</v>
      </c>
      <c r="T513">
        <v>2</v>
      </c>
      <c r="U513" t="s">
        <v>35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tr">
        <f>IF(Table1[[#This Row],[YearsAtCompany]]&lt;1,"0-1",IF(Table1[[#This Row],[YearsAtCompany]]&lt;=3,"1-3",IF(Table1[[#This Row],[YearsAtCompany]]&lt;=6,"4-6","7+")))</f>
        <v>1-3</v>
      </c>
      <c r="AH513">
        <f>Table1[[#This Row],[MonthlyIncome]]*12*0.75</f>
        <v>79623</v>
      </c>
      <c r="AI5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513">
        <f>IF(Table1[[#This Row],[Attrition]]="Yes",Table1[[#This Row],[EstReplacementCost]],0)</f>
        <v>0</v>
      </c>
    </row>
    <row r="514" spans="1:36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47</v>
      </c>
      <c r="P514">
        <v>4</v>
      </c>
      <c r="Q514" t="s">
        <v>41</v>
      </c>
      <c r="R514">
        <v>2045</v>
      </c>
      <c r="S514">
        <v>15174</v>
      </c>
      <c r="T514">
        <v>0</v>
      </c>
      <c r="U514" t="s">
        <v>43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tr">
        <f>IF(Table1[[#This Row],[YearsAtCompany]]&lt;1,"0-1",IF(Table1[[#This Row],[YearsAtCompany]]&lt;=3,"1-3",IF(Table1[[#This Row],[YearsAtCompany]]&lt;=6,"4-6","7+")))</f>
        <v>4-6</v>
      </c>
      <c r="AH514">
        <f>Table1[[#This Row],[MonthlyIncome]]*12*0.75</f>
        <v>18405</v>
      </c>
      <c r="AI5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14">
        <f>IF(Table1[[#This Row],[Attrition]]="Yes",Table1[[#This Row],[EstReplacementCost]],0)</f>
        <v>0</v>
      </c>
    </row>
    <row r="515" spans="1:36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47</v>
      </c>
      <c r="P515">
        <v>3</v>
      </c>
      <c r="Q515" t="s">
        <v>41</v>
      </c>
      <c r="R515">
        <v>1009</v>
      </c>
      <c r="S515">
        <v>26999</v>
      </c>
      <c r="T515">
        <v>1</v>
      </c>
      <c r="U515" t="s">
        <v>35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tr">
        <f>IF(Table1[[#This Row],[YearsAtCompany]]&lt;1,"0-1",IF(Table1[[#This Row],[YearsAtCompany]]&lt;=3,"1-3",IF(Table1[[#This Row],[YearsAtCompany]]&lt;=6,"4-6","7+")))</f>
        <v>1-3</v>
      </c>
      <c r="AH515">
        <f>Table1[[#This Row],[MonthlyIncome]]*12*0.75</f>
        <v>9081</v>
      </c>
      <c r="AI5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15">
        <f>IF(Table1[[#This Row],[Attrition]]="Yes",Table1[[#This Row],[EstReplacementCost]],0)</f>
        <v>9081</v>
      </c>
    </row>
    <row r="516" spans="1:36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47</v>
      </c>
      <c r="P516">
        <v>1</v>
      </c>
      <c r="Q516" t="s">
        <v>41</v>
      </c>
      <c r="R516">
        <v>3348</v>
      </c>
      <c r="S516">
        <v>3164</v>
      </c>
      <c r="T516">
        <v>1</v>
      </c>
      <c r="U516" t="s">
        <v>35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tr">
        <f>IF(Table1[[#This Row],[YearsAtCompany]]&lt;1,"0-1",IF(Table1[[#This Row],[YearsAtCompany]]&lt;=3,"1-3",IF(Table1[[#This Row],[YearsAtCompany]]&lt;=6,"4-6","7+")))</f>
        <v>7+</v>
      </c>
      <c r="AH516">
        <f>Table1[[#This Row],[MonthlyIncome]]*12*0.75</f>
        <v>30132</v>
      </c>
      <c r="AI5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16">
        <f>IF(Table1[[#This Row],[Attrition]]="Yes",Table1[[#This Row],[EstReplacementCost]],0)</f>
        <v>30132</v>
      </c>
    </row>
    <row r="517" spans="1:36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50</v>
      </c>
      <c r="P517">
        <v>3</v>
      </c>
      <c r="Q517" t="s">
        <v>48</v>
      </c>
      <c r="R517">
        <v>1281</v>
      </c>
      <c r="S517">
        <v>16900</v>
      </c>
      <c r="T517">
        <v>1</v>
      </c>
      <c r="U517" t="s">
        <v>43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tr">
        <f>IF(Table1[[#This Row],[YearsAtCompany]]&lt;1,"0-1",IF(Table1[[#This Row],[YearsAtCompany]]&lt;=3,"1-3",IF(Table1[[#This Row],[YearsAtCompany]]&lt;=6,"4-6","7+")))</f>
        <v>1-3</v>
      </c>
      <c r="AH517">
        <f>Table1[[#This Row],[MonthlyIncome]]*12*0.75</f>
        <v>11529</v>
      </c>
      <c r="AI5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17">
        <f>IF(Table1[[#This Row],[Attrition]]="Yes",Table1[[#This Row],[EstReplacementCost]],0)</f>
        <v>0</v>
      </c>
    </row>
    <row r="518" spans="1:36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47</v>
      </c>
      <c r="P518">
        <v>1</v>
      </c>
      <c r="Q518" t="s">
        <v>48</v>
      </c>
      <c r="R518">
        <v>2819</v>
      </c>
      <c r="S518">
        <v>8544</v>
      </c>
      <c r="T518">
        <v>2</v>
      </c>
      <c r="U518" t="s">
        <v>43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tr">
        <f>IF(Table1[[#This Row],[YearsAtCompany]]&lt;1,"0-1",IF(Table1[[#This Row],[YearsAtCompany]]&lt;=3,"1-3",IF(Table1[[#This Row],[YearsAtCompany]]&lt;=6,"4-6","7+")))</f>
        <v>1-3</v>
      </c>
      <c r="AH518">
        <f>Table1[[#This Row],[MonthlyIncome]]*12*0.75</f>
        <v>25371</v>
      </c>
      <c r="AI5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18">
        <f>IF(Table1[[#This Row],[Attrition]]="Yes",Table1[[#This Row],[EstReplacementCost]],0)</f>
        <v>0</v>
      </c>
    </row>
    <row r="519" spans="1:36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48</v>
      </c>
      <c r="R519">
        <v>4851</v>
      </c>
      <c r="S519">
        <v>15678</v>
      </c>
      <c r="T519">
        <v>0</v>
      </c>
      <c r="U519" t="s">
        <v>43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tr">
        <f>IF(Table1[[#This Row],[YearsAtCompany]]&lt;1,"0-1",IF(Table1[[#This Row],[YearsAtCompany]]&lt;=3,"1-3",IF(Table1[[#This Row],[YearsAtCompany]]&lt;=6,"4-6","7+")))</f>
        <v>1-3</v>
      </c>
      <c r="AH519">
        <f>Table1[[#This Row],[MonthlyIncome]]*12*0.75</f>
        <v>43659</v>
      </c>
      <c r="AI5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19">
        <f>IF(Table1[[#This Row],[Attrition]]="Yes",Table1[[#This Row],[EstReplacementCost]],0)</f>
        <v>0</v>
      </c>
    </row>
    <row r="520" spans="1:36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>
        <v>4028</v>
      </c>
      <c r="S520">
        <v>7791</v>
      </c>
      <c r="T520">
        <v>0</v>
      </c>
      <c r="U520" t="s">
        <v>43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tr">
        <f>IF(Table1[[#This Row],[YearsAtCompany]]&lt;1,"0-1",IF(Table1[[#This Row],[YearsAtCompany]]&lt;=3,"1-3",IF(Table1[[#This Row],[YearsAtCompany]]&lt;=6,"4-6","7+")))</f>
        <v>7+</v>
      </c>
      <c r="AH520">
        <f>Table1[[#This Row],[MonthlyIncome]]*12*0.75</f>
        <v>36252</v>
      </c>
      <c r="AI5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20">
        <f>IF(Table1[[#This Row],[Attrition]]="Yes",Table1[[#This Row],[EstReplacementCost]],0)</f>
        <v>0</v>
      </c>
    </row>
    <row r="521" spans="1:36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47</v>
      </c>
      <c r="P521">
        <v>4</v>
      </c>
      <c r="Q521" t="s">
        <v>52</v>
      </c>
      <c r="R521">
        <v>2720</v>
      </c>
      <c r="S521">
        <v>18959</v>
      </c>
      <c r="T521">
        <v>1</v>
      </c>
      <c r="U521" t="s">
        <v>43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tr">
        <f>IF(Table1[[#This Row],[YearsAtCompany]]&lt;1,"0-1",IF(Table1[[#This Row],[YearsAtCompany]]&lt;=3,"1-3",IF(Table1[[#This Row],[YearsAtCompany]]&lt;=6,"4-6","7+")))</f>
        <v>7+</v>
      </c>
      <c r="AH521">
        <f>Table1[[#This Row],[MonthlyIncome]]*12*0.75</f>
        <v>24480</v>
      </c>
      <c r="AI5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21">
        <f>IF(Table1[[#This Row],[Attrition]]="Yes",Table1[[#This Row],[EstReplacementCost]],0)</f>
        <v>0</v>
      </c>
    </row>
    <row r="522" spans="1:36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48</v>
      </c>
      <c r="R522">
        <v>8120</v>
      </c>
      <c r="S522">
        <v>18597</v>
      </c>
      <c r="T522">
        <v>3</v>
      </c>
      <c r="U522" t="s">
        <v>43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tr">
        <f>IF(Table1[[#This Row],[YearsAtCompany]]&lt;1,"0-1",IF(Table1[[#This Row],[YearsAtCompany]]&lt;=3,"1-3",IF(Table1[[#This Row],[YearsAtCompany]]&lt;=6,"4-6","7+")))</f>
        <v>1-3</v>
      </c>
      <c r="AH522">
        <f>Table1[[#This Row],[MonthlyIncome]]*12*0.75</f>
        <v>73080</v>
      </c>
      <c r="AI5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22">
        <f>IF(Table1[[#This Row],[Attrition]]="Yes",Table1[[#This Row],[EstReplacementCost]],0)</f>
        <v>0</v>
      </c>
    </row>
    <row r="523" spans="1:36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52</v>
      </c>
      <c r="R523">
        <v>4647</v>
      </c>
      <c r="S523">
        <v>16673</v>
      </c>
      <c r="T523">
        <v>1</v>
      </c>
      <c r="U523" t="s">
        <v>35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tr">
        <f>IF(Table1[[#This Row],[YearsAtCompany]]&lt;1,"0-1",IF(Table1[[#This Row],[YearsAtCompany]]&lt;=3,"1-3",IF(Table1[[#This Row],[YearsAtCompany]]&lt;=6,"4-6","7+")))</f>
        <v>4-6</v>
      </c>
      <c r="AH523">
        <f>Table1[[#This Row],[MonthlyIncome]]*12*0.75</f>
        <v>41823</v>
      </c>
      <c r="AI5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23">
        <f>IF(Table1[[#This Row],[Attrition]]="Yes",Table1[[#This Row],[EstReplacementCost]],0)</f>
        <v>0</v>
      </c>
    </row>
    <row r="524" spans="1:36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47</v>
      </c>
      <c r="P524">
        <v>4</v>
      </c>
      <c r="Q524" t="s">
        <v>41</v>
      </c>
      <c r="R524">
        <v>4680</v>
      </c>
      <c r="S524">
        <v>15232</v>
      </c>
      <c r="T524">
        <v>3</v>
      </c>
      <c r="U524" t="s">
        <v>43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tr">
        <f>IF(Table1[[#This Row],[YearsAtCompany]]&lt;1,"0-1",IF(Table1[[#This Row],[YearsAtCompany]]&lt;=3,"1-3",IF(Table1[[#This Row],[YearsAtCompany]]&lt;=6,"4-6","7+")))</f>
        <v>1-3</v>
      </c>
      <c r="AH524">
        <f>Table1[[#This Row],[MonthlyIncome]]*12*0.75</f>
        <v>42120</v>
      </c>
      <c r="AI5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24">
        <f>IF(Table1[[#This Row],[Attrition]]="Yes",Table1[[#This Row],[EstReplacementCost]],0)</f>
        <v>0</v>
      </c>
    </row>
    <row r="525" spans="1:36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50</v>
      </c>
      <c r="P525">
        <v>3</v>
      </c>
      <c r="Q525" t="s">
        <v>48</v>
      </c>
      <c r="R525">
        <v>3221</v>
      </c>
      <c r="S525">
        <v>3297</v>
      </c>
      <c r="T525">
        <v>1</v>
      </c>
      <c r="U525" t="s">
        <v>35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tr">
        <f>IF(Table1[[#This Row],[YearsAtCompany]]&lt;1,"0-1",IF(Table1[[#This Row],[YearsAtCompany]]&lt;=3,"1-3",IF(Table1[[#This Row],[YearsAtCompany]]&lt;=6,"4-6","7+")))</f>
        <v>7+</v>
      </c>
      <c r="AH525">
        <f>Table1[[#This Row],[MonthlyIncome]]*12*0.75</f>
        <v>28989</v>
      </c>
      <c r="AI5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25">
        <f>IF(Table1[[#This Row],[Attrition]]="Yes",Table1[[#This Row],[EstReplacementCost]],0)</f>
        <v>0</v>
      </c>
    </row>
    <row r="526" spans="1:36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54</v>
      </c>
      <c r="P526">
        <v>2</v>
      </c>
      <c r="Q526" t="s">
        <v>41</v>
      </c>
      <c r="R526">
        <v>8621</v>
      </c>
      <c r="S526">
        <v>17654</v>
      </c>
      <c r="T526">
        <v>1</v>
      </c>
      <c r="U526" t="s">
        <v>43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tr">
        <f>IF(Table1[[#This Row],[YearsAtCompany]]&lt;1,"0-1",IF(Table1[[#This Row],[YearsAtCompany]]&lt;=3,"1-3",IF(Table1[[#This Row],[YearsAtCompany]]&lt;=6,"4-6","7+")))</f>
        <v>7+</v>
      </c>
      <c r="AH526">
        <f>Table1[[#This Row],[MonthlyIncome]]*12*0.75</f>
        <v>77589</v>
      </c>
      <c r="AI5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26">
        <f>IF(Table1[[#This Row],[Attrition]]="Yes",Table1[[#This Row],[EstReplacementCost]],0)</f>
        <v>0</v>
      </c>
    </row>
    <row r="527" spans="1:36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>
        <v>4577</v>
      </c>
      <c r="S527">
        <v>24785</v>
      </c>
      <c r="T527">
        <v>9</v>
      </c>
      <c r="U527" t="s">
        <v>43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tr">
        <f>IF(Table1[[#This Row],[YearsAtCompany]]&lt;1,"0-1",IF(Table1[[#This Row],[YearsAtCompany]]&lt;=3,"1-3",IF(Table1[[#This Row],[YearsAtCompany]]&lt;=6,"4-6","7+")))</f>
        <v>1-3</v>
      </c>
      <c r="AH527">
        <f>Table1[[#This Row],[MonthlyIncome]]*12*0.75</f>
        <v>41193</v>
      </c>
      <c r="AI5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27">
        <f>IF(Table1[[#This Row],[Attrition]]="Yes",Table1[[#This Row],[EstReplacementCost]],0)</f>
        <v>41193</v>
      </c>
    </row>
    <row r="528" spans="1:36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54</v>
      </c>
      <c r="P528">
        <v>3</v>
      </c>
      <c r="Q528" t="s">
        <v>41</v>
      </c>
      <c r="R528">
        <v>4553</v>
      </c>
      <c r="S528">
        <v>20978</v>
      </c>
      <c r="T528">
        <v>1</v>
      </c>
      <c r="U528" t="s">
        <v>43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tr">
        <f>IF(Table1[[#This Row],[YearsAtCompany]]&lt;1,"0-1",IF(Table1[[#This Row],[YearsAtCompany]]&lt;=3,"1-3",IF(Table1[[#This Row],[YearsAtCompany]]&lt;=6,"4-6","7+")))</f>
        <v>7+</v>
      </c>
      <c r="AH528">
        <f>Table1[[#This Row],[MonthlyIncome]]*12*0.75</f>
        <v>40977</v>
      </c>
      <c r="AI5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28">
        <f>IF(Table1[[#This Row],[Attrition]]="Yes",Table1[[#This Row],[EstReplacementCost]],0)</f>
        <v>0</v>
      </c>
    </row>
    <row r="529" spans="1:36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>
        <v>5396</v>
      </c>
      <c r="S529">
        <v>21703</v>
      </c>
      <c r="T529">
        <v>1</v>
      </c>
      <c r="U529" t="s">
        <v>43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tr">
        <f>IF(Table1[[#This Row],[YearsAtCompany]]&lt;1,"0-1",IF(Table1[[#This Row],[YearsAtCompany]]&lt;=3,"1-3",IF(Table1[[#This Row],[YearsAtCompany]]&lt;=6,"4-6","7+")))</f>
        <v>7+</v>
      </c>
      <c r="AH529">
        <f>Table1[[#This Row],[MonthlyIncome]]*12*0.75</f>
        <v>48564</v>
      </c>
      <c r="AI5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29">
        <f>IF(Table1[[#This Row],[Attrition]]="Yes",Table1[[#This Row],[EstReplacementCost]],0)</f>
        <v>0</v>
      </c>
    </row>
    <row r="530" spans="1:36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48</v>
      </c>
      <c r="R530">
        <v>6796</v>
      </c>
      <c r="S530">
        <v>23452</v>
      </c>
      <c r="T530">
        <v>3</v>
      </c>
      <c r="U530" t="s">
        <v>35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tr">
        <f>IF(Table1[[#This Row],[YearsAtCompany]]&lt;1,"0-1",IF(Table1[[#This Row],[YearsAtCompany]]&lt;=3,"1-3",IF(Table1[[#This Row],[YearsAtCompany]]&lt;=6,"4-6","7+")))</f>
        <v>4-6</v>
      </c>
      <c r="AH530">
        <f>Table1[[#This Row],[MonthlyIncome]]*12*0.75</f>
        <v>61164</v>
      </c>
      <c r="AI5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30">
        <f>IF(Table1[[#This Row],[Attrition]]="Yes",Table1[[#This Row],[EstReplacementCost]],0)</f>
        <v>61164</v>
      </c>
    </row>
    <row r="531" spans="1:36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54</v>
      </c>
      <c r="P531">
        <v>4</v>
      </c>
      <c r="Q531" t="s">
        <v>41</v>
      </c>
      <c r="R531">
        <v>7625</v>
      </c>
      <c r="S531">
        <v>19383</v>
      </c>
      <c r="T531">
        <v>0</v>
      </c>
      <c r="U531" t="s">
        <v>43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tr">
        <f>IF(Table1[[#This Row],[YearsAtCompany]]&lt;1,"0-1",IF(Table1[[#This Row],[YearsAtCompany]]&lt;=3,"1-3",IF(Table1[[#This Row],[YearsAtCompany]]&lt;=6,"4-6","7+")))</f>
        <v>7+</v>
      </c>
      <c r="AH531">
        <f>Table1[[#This Row],[MonthlyIncome]]*12*0.75</f>
        <v>68625</v>
      </c>
      <c r="AI5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31">
        <f>IF(Table1[[#This Row],[Attrition]]="Yes",Table1[[#This Row],[EstReplacementCost]],0)</f>
        <v>0</v>
      </c>
    </row>
    <row r="532" spans="1:36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53</v>
      </c>
      <c r="P532">
        <v>1</v>
      </c>
      <c r="Q532" t="s">
        <v>48</v>
      </c>
      <c r="R532">
        <v>7412</v>
      </c>
      <c r="S532">
        <v>6009</v>
      </c>
      <c r="T532">
        <v>1</v>
      </c>
      <c r="U532" t="s">
        <v>43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tr">
        <f>IF(Table1[[#This Row],[YearsAtCompany]]&lt;1,"0-1",IF(Table1[[#This Row],[YearsAtCompany]]&lt;=3,"1-3",IF(Table1[[#This Row],[YearsAtCompany]]&lt;=6,"4-6","7+")))</f>
        <v>7+</v>
      </c>
      <c r="AH532">
        <f>Table1[[#This Row],[MonthlyIncome]]*12*0.75</f>
        <v>66708</v>
      </c>
      <c r="AI5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32">
        <f>IF(Table1[[#This Row],[Attrition]]="Yes",Table1[[#This Row],[EstReplacementCost]],0)</f>
        <v>0</v>
      </c>
    </row>
    <row r="533" spans="1:36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58</v>
      </c>
      <c r="P533">
        <v>4</v>
      </c>
      <c r="Q533" t="s">
        <v>41</v>
      </c>
      <c r="R533">
        <v>11159</v>
      </c>
      <c r="S533">
        <v>19373</v>
      </c>
      <c r="T533">
        <v>3</v>
      </c>
      <c r="U533" t="s">
        <v>43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tr">
        <f>IF(Table1[[#This Row],[YearsAtCompany]]&lt;1,"0-1",IF(Table1[[#This Row],[YearsAtCompany]]&lt;=3,"1-3",IF(Table1[[#This Row],[YearsAtCompany]]&lt;=6,"4-6","7+")))</f>
        <v>7+</v>
      </c>
      <c r="AH533">
        <f>Table1[[#This Row],[MonthlyIncome]]*12*0.75</f>
        <v>100431</v>
      </c>
      <c r="AI5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33">
        <f>IF(Table1[[#This Row],[Attrition]]="Yes",Table1[[#This Row],[EstReplacementCost]],0)</f>
        <v>0</v>
      </c>
    </row>
    <row r="534" spans="1:36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>
        <v>4960</v>
      </c>
      <c r="S534">
        <v>11825</v>
      </c>
      <c r="T534">
        <v>2</v>
      </c>
      <c r="U534" t="s">
        <v>43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tr">
        <f>IF(Table1[[#This Row],[YearsAtCompany]]&lt;1,"0-1",IF(Table1[[#This Row],[YearsAtCompany]]&lt;=3,"1-3",IF(Table1[[#This Row],[YearsAtCompany]]&lt;=6,"4-6","7+")))</f>
        <v>7+</v>
      </c>
      <c r="AH534">
        <f>Table1[[#This Row],[MonthlyIncome]]*12*0.75</f>
        <v>44640</v>
      </c>
      <c r="AI5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34">
        <f>IF(Table1[[#This Row],[Attrition]]="Yes",Table1[[#This Row],[EstReplacementCost]],0)</f>
        <v>0</v>
      </c>
    </row>
    <row r="535" spans="1:36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48</v>
      </c>
      <c r="R535">
        <v>10475</v>
      </c>
      <c r="S535">
        <v>23772</v>
      </c>
      <c r="T535">
        <v>5</v>
      </c>
      <c r="U535" t="s">
        <v>35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tr">
        <f>IF(Table1[[#This Row],[YearsAtCompany]]&lt;1,"0-1",IF(Table1[[#This Row],[YearsAtCompany]]&lt;=3,"1-3",IF(Table1[[#This Row],[YearsAtCompany]]&lt;=6,"4-6","7+")))</f>
        <v>7+</v>
      </c>
      <c r="AH535">
        <f>Table1[[#This Row],[MonthlyIncome]]*12*0.75</f>
        <v>94275</v>
      </c>
      <c r="AI5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35">
        <f>IF(Table1[[#This Row],[Attrition]]="Yes",Table1[[#This Row],[EstReplacementCost]],0)</f>
        <v>0</v>
      </c>
    </row>
    <row r="536" spans="1:36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58</v>
      </c>
      <c r="P536">
        <v>3</v>
      </c>
      <c r="Q536" t="s">
        <v>48</v>
      </c>
      <c r="R536">
        <v>14814</v>
      </c>
      <c r="S536">
        <v>13514</v>
      </c>
      <c r="T536">
        <v>3</v>
      </c>
      <c r="U536" t="s">
        <v>43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tr">
        <f>IF(Table1[[#This Row],[YearsAtCompany]]&lt;1,"0-1",IF(Table1[[#This Row],[YearsAtCompany]]&lt;=3,"1-3",IF(Table1[[#This Row],[YearsAtCompany]]&lt;=6,"4-6","7+")))</f>
        <v>4-6</v>
      </c>
      <c r="AH536">
        <f>Table1[[#This Row],[MonthlyIncome]]*12*0.75</f>
        <v>133326</v>
      </c>
      <c r="AI5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36">
        <f>IF(Table1[[#This Row],[Attrition]]="Yes",Table1[[#This Row],[EstReplacementCost]],0)</f>
        <v>0</v>
      </c>
    </row>
    <row r="537" spans="1:36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56</v>
      </c>
      <c r="P537">
        <v>4</v>
      </c>
      <c r="Q537" t="s">
        <v>52</v>
      </c>
      <c r="R537">
        <v>19141</v>
      </c>
      <c r="S537">
        <v>8861</v>
      </c>
      <c r="T537">
        <v>3</v>
      </c>
      <c r="U537" t="s">
        <v>43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tr">
        <f>IF(Table1[[#This Row],[YearsAtCompany]]&lt;1,"0-1",IF(Table1[[#This Row],[YearsAtCompany]]&lt;=3,"1-3",IF(Table1[[#This Row],[YearsAtCompany]]&lt;=6,"4-6","7+")))</f>
        <v>7+</v>
      </c>
      <c r="AH537">
        <f>Table1[[#This Row],[MonthlyIncome]]*12*0.75</f>
        <v>172269</v>
      </c>
      <c r="AI5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37">
        <f>IF(Table1[[#This Row],[Attrition]]="Yes",Table1[[#This Row],[EstReplacementCost]],0)</f>
        <v>0</v>
      </c>
    </row>
    <row r="538" spans="1:36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>
        <v>5405</v>
      </c>
      <c r="S538">
        <v>11924</v>
      </c>
      <c r="T538">
        <v>8</v>
      </c>
      <c r="U538" t="s">
        <v>43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tr">
        <f>IF(Table1[[#This Row],[YearsAtCompany]]&lt;1,"0-1",IF(Table1[[#This Row],[YearsAtCompany]]&lt;=3,"1-3",IF(Table1[[#This Row],[YearsAtCompany]]&lt;=6,"4-6","7+")))</f>
        <v>1-3</v>
      </c>
      <c r="AH538">
        <f>Table1[[#This Row],[MonthlyIncome]]*12*0.75</f>
        <v>48645</v>
      </c>
      <c r="AI5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38">
        <f>IF(Table1[[#This Row],[Attrition]]="Yes",Table1[[#This Row],[EstReplacementCost]],0)</f>
        <v>0</v>
      </c>
    </row>
    <row r="539" spans="1:36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53</v>
      </c>
      <c r="P539">
        <v>1</v>
      </c>
      <c r="Q539" t="s">
        <v>52</v>
      </c>
      <c r="R539">
        <v>8793</v>
      </c>
      <c r="S539">
        <v>4809</v>
      </c>
      <c r="T539">
        <v>1</v>
      </c>
      <c r="U539" t="s">
        <v>43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tr">
        <f>IF(Table1[[#This Row],[YearsAtCompany]]&lt;1,"0-1",IF(Table1[[#This Row],[YearsAtCompany]]&lt;=3,"1-3",IF(Table1[[#This Row],[YearsAtCompany]]&lt;=6,"4-6","7+")))</f>
        <v>7+</v>
      </c>
      <c r="AH539">
        <f>Table1[[#This Row],[MonthlyIncome]]*12*0.75</f>
        <v>79137</v>
      </c>
      <c r="AI5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39">
        <f>IF(Table1[[#This Row],[Attrition]]="Yes",Table1[[#This Row],[EstReplacementCost]],0)</f>
        <v>0</v>
      </c>
    </row>
    <row r="540" spans="1:36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56</v>
      </c>
      <c r="P540">
        <v>3</v>
      </c>
      <c r="Q540" t="s">
        <v>48</v>
      </c>
      <c r="R540">
        <v>19189</v>
      </c>
      <c r="S540">
        <v>19562</v>
      </c>
      <c r="T540">
        <v>1</v>
      </c>
      <c r="U540" t="s">
        <v>43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tr">
        <f>IF(Table1[[#This Row],[YearsAtCompany]]&lt;1,"0-1",IF(Table1[[#This Row],[YearsAtCompany]]&lt;=3,"1-3",IF(Table1[[#This Row],[YearsAtCompany]]&lt;=6,"4-6","7+")))</f>
        <v>7+</v>
      </c>
      <c r="AH540">
        <f>Table1[[#This Row],[MonthlyIncome]]*12*0.75</f>
        <v>172701</v>
      </c>
      <c r="AI5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40">
        <f>IF(Table1[[#This Row],[Attrition]]="Yes",Table1[[#This Row],[EstReplacementCost]],0)</f>
        <v>0</v>
      </c>
    </row>
    <row r="541" spans="1:36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57</v>
      </c>
      <c r="P541">
        <v>2</v>
      </c>
      <c r="Q541" t="s">
        <v>48</v>
      </c>
      <c r="R541">
        <v>3875</v>
      </c>
      <c r="S541">
        <v>9983</v>
      </c>
      <c r="T541">
        <v>7</v>
      </c>
      <c r="U541" t="s">
        <v>43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tr">
        <f>IF(Table1[[#This Row],[YearsAtCompany]]&lt;1,"0-1",IF(Table1[[#This Row],[YearsAtCompany]]&lt;=3,"1-3",IF(Table1[[#This Row],[YearsAtCompany]]&lt;=6,"4-6","7+")))</f>
        <v>1-3</v>
      </c>
      <c r="AH541">
        <f>Table1[[#This Row],[MonthlyIncome]]*12*0.75</f>
        <v>34875</v>
      </c>
      <c r="AI5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41">
        <f>IF(Table1[[#This Row],[Attrition]]="Yes",Table1[[#This Row],[EstReplacementCost]],0)</f>
        <v>0</v>
      </c>
    </row>
    <row r="542" spans="1:36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47</v>
      </c>
      <c r="P542">
        <v>2</v>
      </c>
      <c r="Q542" t="s">
        <v>41</v>
      </c>
      <c r="R542">
        <v>2216</v>
      </c>
      <c r="S542">
        <v>3872</v>
      </c>
      <c r="T542">
        <v>7</v>
      </c>
      <c r="U542" t="s">
        <v>35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tr">
        <f>IF(Table1[[#This Row],[YearsAtCompany]]&lt;1,"0-1",IF(Table1[[#This Row],[YearsAtCompany]]&lt;=3,"1-3",IF(Table1[[#This Row],[YearsAtCompany]]&lt;=6,"4-6","7+")))</f>
        <v>7+</v>
      </c>
      <c r="AH542">
        <f>Table1[[#This Row],[MonthlyIncome]]*12*0.75</f>
        <v>19944</v>
      </c>
      <c r="AI5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42">
        <f>IF(Table1[[#This Row],[Attrition]]="Yes",Table1[[#This Row],[EstReplacementCost]],0)</f>
        <v>19944</v>
      </c>
    </row>
    <row r="543" spans="1:36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58</v>
      </c>
      <c r="P543">
        <v>1</v>
      </c>
      <c r="Q543" t="s">
        <v>48</v>
      </c>
      <c r="R543">
        <v>11713</v>
      </c>
      <c r="S543">
        <v>20335</v>
      </c>
      <c r="T543">
        <v>9</v>
      </c>
      <c r="U543" t="s">
        <v>43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tr">
        <f>IF(Table1[[#This Row],[YearsAtCompany]]&lt;1,"0-1",IF(Table1[[#This Row],[YearsAtCompany]]&lt;=3,"1-3",IF(Table1[[#This Row],[YearsAtCompany]]&lt;=6,"4-6","7+")))</f>
        <v>7+</v>
      </c>
      <c r="AH543">
        <f>Table1[[#This Row],[MonthlyIncome]]*12*0.75</f>
        <v>105417</v>
      </c>
      <c r="AI5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43">
        <f>IF(Table1[[#This Row],[Attrition]]="Yes",Table1[[#This Row],[EstReplacementCost]],0)</f>
        <v>0</v>
      </c>
    </row>
    <row r="544" spans="1:36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53</v>
      </c>
      <c r="P544">
        <v>3</v>
      </c>
      <c r="Q544" t="s">
        <v>41</v>
      </c>
      <c r="R544">
        <v>7861</v>
      </c>
      <c r="S544">
        <v>15397</v>
      </c>
      <c r="T544">
        <v>4</v>
      </c>
      <c r="U544" t="s">
        <v>35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tr">
        <f>IF(Table1[[#This Row],[YearsAtCompany]]&lt;1,"0-1",IF(Table1[[#This Row],[YearsAtCompany]]&lt;=3,"1-3",IF(Table1[[#This Row],[YearsAtCompany]]&lt;=6,"4-6","7+")))</f>
        <v>1-3</v>
      </c>
      <c r="AH544">
        <f>Table1[[#This Row],[MonthlyIncome]]*12*0.75</f>
        <v>70749</v>
      </c>
      <c r="AI5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44">
        <f>IF(Table1[[#This Row],[Attrition]]="Yes",Table1[[#This Row],[EstReplacementCost]],0)</f>
        <v>0</v>
      </c>
    </row>
    <row r="545" spans="1:36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50</v>
      </c>
      <c r="P545">
        <v>3</v>
      </c>
      <c r="Q545" t="s">
        <v>41</v>
      </c>
      <c r="R545">
        <v>3708</v>
      </c>
      <c r="S545">
        <v>2104</v>
      </c>
      <c r="T545">
        <v>2</v>
      </c>
      <c r="U545" t="s">
        <v>43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tr">
        <f>IF(Table1[[#This Row],[YearsAtCompany]]&lt;1,"0-1",IF(Table1[[#This Row],[YearsAtCompany]]&lt;=3,"1-3",IF(Table1[[#This Row],[YearsAtCompany]]&lt;=6,"4-6","7+")))</f>
        <v>4-6</v>
      </c>
      <c r="AH545">
        <f>Table1[[#This Row],[MonthlyIncome]]*12*0.75</f>
        <v>33372</v>
      </c>
      <c r="AI5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45">
        <f>IF(Table1[[#This Row],[Attrition]]="Yes",Table1[[#This Row],[EstReplacementCost]],0)</f>
        <v>0</v>
      </c>
    </row>
    <row r="546" spans="1:36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52</v>
      </c>
      <c r="R546">
        <v>13770</v>
      </c>
      <c r="S546">
        <v>10225</v>
      </c>
      <c r="T546">
        <v>9</v>
      </c>
      <c r="U546" t="s">
        <v>35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tr">
        <f>IF(Table1[[#This Row],[YearsAtCompany]]&lt;1,"0-1",IF(Table1[[#This Row],[YearsAtCompany]]&lt;=3,"1-3",IF(Table1[[#This Row],[YearsAtCompany]]&lt;=6,"4-6","7+")))</f>
        <v>7+</v>
      </c>
      <c r="AH546">
        <f>Table1[[#This Row],[MonthlyIncome]]*12*0.75</f>
        <v>123930</v>
      </c>
      <c r="AI5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46">
        <f>IF(Table1[[#This Row],[Attrition]]="Yes",Table1[[#This Row],[EstReplacementCost]],0)</f>
        <v>0</v>
      </c>
    </row>
    <row r="547" spans="1:36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52</v>
      </c>
      <c r="R547">
        <v>5304</v>
      </c>
      <c r="S547">
        <v>25275</v>
      </c>
      <c r="T547">
        <v>7</v>
      </c>
      <c r="U547" t="s">
        <v>43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tr">
        <f>IF(Table1[[#This Row],[YearsAtCompany]]&lt;1,"0-1",IF(Table1[[#This Row],[YearsAtCompany]]&lt;=3,"1-3",IF(Table1[[#This Row],[YearsAtCompany]]&lt;=6,"4-6","7+")))</f>
        <v>7+</v>
      </c>
      <c r="AH547">
        <f>Table1[[#This Row],[MonthlyIncome]]*12*0.75</f>
        <v>47736</v>
      </c>
      <c r="AI5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47">
        <f>IF(Table1[[#This Row],[Attrition]]="Yes",Table1[[#This Row],[EstReplacementCost]],0)</f>
        <v>0</v>
      </c>
    </row>
    <row r="548" spans="1:36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57</v>
      </c>
      <c r="P548">
        <v>3</v>
      </c>
      <c r="Q548" t="s">
        <v>41</v>
      </c>
      <c r="R548">
        <v>2642</v>
      </c>
      <c r="S548">
        <v>2755</v>
      </c>
      <c r="T548">
        <v>1</v>
      </c>
      <c r="U548" t="s">
        <v>43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tr">
        <f>IF(Table1[[#This Row],[YearsAtCompany]]&lt;1,"0-1",IF(Table1[[#This Row],[YearsAtCompany]]&lt;=3,"1-3",IF(Table1[[#This Row],[YearsAtCompany]]&lt;=6,"4-6","7+")))</f>
        <v>1-3</v>
      </c>
      <c r="AH548">
        <f>Table1[[#This Row],[MonthlyIncome]]*12*0.75</f>
        <v>23778</v>
      </c>
      <c r="AI5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48">
        <f>IF(Table1[[#This Row],[Attrition]]="Yes",Table1[[#This Row],[EstReplacementCost]],0)</f>
        <v>0</v>
      </c>
    </row>
    <row r="549" spans="1:36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47</v>
      </c>
      <c r="P549">
        <v>3</v>
      </c>
      <c r="Q549" t="s">
        <v>52</v>
      </c>
      <c r="R549">
        <v>2759</v>
      </c>
      <c r="S549">
        <v>20366</v>
      </c>
      <c r="T549">
        <v>6</v>
      </c>
      <c r="U549" t="s">
        <v>35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tr">
        <f>IF(Table1[[#This Row],[YearsAtCompany]]&lt;1,"0-1",IF(Table1[[#This Row],[YearsAtCompany]]&lt;=3,"1-3",IF(Table1[[#This Row],[YearsAtCompany]]&lt;=6,"4-6","7+")))</f>
        <v>1-3</v>
      </c>
      <c r="AH549">
        <f>Table1[[#This Row],[MonthlyIncome]]*12*0.75</f>
        <v>24831</v>
      </c>
      <c r="AI5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49">
        <f>IF(Table1[[#This Row],[Attrition]]="Yes",Table1[[#This Row],[EstReplacementCost]],0)</f>
        <v>24831</v>
      </c>
    </row>
    <row r="550" spans="1:36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48</v>
      </c>
      <c r="R550">
        <v>6804</v>
      </c>
      <c r="S550">
        <v>23683</v>
      </c>
      <c r="T550">
        <v>3</v>
      </c>
      <c r="U550" t="s">
        <v>43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tr">
        <f>IF(Table1[[#This Row],[YearsAtCompany]]&lt;1,"0-1",IF(Table1[[#This Row],[YearsAtCompany]]&lt;=3,"1-3",IF(Table1[[#This Row],[YearsAtCompany]]&lt;=6,"4-6","7+")))</f>
        <v>1-3</v>
      </c>
      <c r="AH550">
        <f>Table1[[#This Row],[MonthlyIncome]]*12*0.75</f>
        <v>61236</v>
      </c>
      <c r="AI5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50">
        <f>IF(Table1[[#This Row],[Attrition]]="Yes",Table1[[#This Row],[EstReplacementCost]],0)</f>
        <v>0</v>
      </c>
    </row>
    <row r="551" spans="1:36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54</v>
      </c>
      <c r="P551">
        <v>3</v>
      </c>
      <c r="Q551" t="s">
        <v>41</v>
      </c>
      <c r="R551">
        <v>6142</v>
      </c>
      <c r="S551">
        <v>7360</v>
      </c>
      <c r="T551">
        <v>3</v>
      </c>
      <c r="U551" t="s">
        <v>43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tr">
        <f>IF(Table1[[#This Row],[YearsAtCompany]]&lt;1,"0-1",IF(Table1[[#This Row],[YearsAtCompany]]&lt;=3,"1-3",IF(Table1[[#This Row],[YearsAtCompany]]&lt;=6,"4-6","7+")))</f>
        <v>4-6</v>
      </c>
      <c r="AH551">
        <f>Table1[[#This Row],[MonthlyIncome]]*12*0.75</f>
        <v>55278</v>
      </c>
      <c r="AI5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51">
        <f>IF(Table1[[#This Row],[Attrition]]="Yes",Table1[[#This Row],[EstReplacementCost]],0)</f>
        <v>0</v>
      </c>
    </row>
    <row r="552" spans="1:36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50</v>
      </c>
      <c r="P552">
        <v>1</v>
      </c>
      <c r="Q552" t="s">
        <v>48</v>
      </c>
      <c r="R552">
        <v>2500</v>
      </c>
      <c r="S552">
        <v>4344</v>
      </c>
      <c r="T552">
        <v>1</v>
      </c>
      <c r="U552" t="s">
        <v>43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tr">
        <f>IF(Table1[[#This Row],[YearsAtCompany]]&lt;1,"0-1",IF(Table1[[#This Row],[YearsAtCompany]]&lt;=3,"1-3",IF(Table1[[#This Row],[YearsAtCompany]]&lt;=6,"4-6","7+")))</f>
        <v>4-6</v>
      </c>
      <c r="AH552">
        <f>Table1[[#This Row],[MonthlyIncome]]*12*0.75</f>
        <v>22500</v>
      </c>
      <c r="AI5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52">
        <f>IF(Table1[[#This Row],[Attrition]]="Yes",Table1[[#This Row],[EstReplacementCost]],0)</f>
        <v>0</v>
      </c>
    </row>
    <row r="553" spans="1:36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61</v>
      </c>
      <c r="P553">
        <v>2</v>
      </c>
      <c r="Q553" t="s">
        <v>48</v>
      </c>
      <c r="R553">
        <v>6389</v>
      </c>
      <c r="S553">
        <v>18767</v>
      </c>
      <c r="T553">
        <v>9</v>
      </c>
      <c r="U553" t="s">
        <v>43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tr">
        <f>IF(Table1[[#This Row],[YearsAtCompany]]&lt;1,"0-1",IF(Table1[[#This Row],[YearsAtCompany]]&lt;=3,"1-3",IF(Table1[[#This Row],[YearsAtCompany]]&lt;=6,"4-6","7+")))</f>
        <v>7+</v>
      </c>
      <c r="AH553">
        <f>Table1[[#This Row],[MonthlyIncome]]*12*0.75</f>
        <v>57501</v>
      </c>
      <c r="AI5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53">
        <f>IF(Table1[[#This Row],[Attrition]]="Yes",Table1[[#This Row],[EstReplacementCost]],0)</f>
        <v>0</v>
      </c>
    </row>
    <row r="554" spans="1:36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54</v>
      </c>
      <c r="P554">
        <v>4</v>
      </c>
      <c r="Q554" t="s">
        <v>48</v>
      </c>
      <c r="R554">
        <v>11103</v>
      </c>
      <c r="S554">
        <v>20420</v>
      </c>
      <c r="T554">
        <v>7</v>
      </c>
      <c r="U554" t="s">
        <v>43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tr">
        <f>IF(Table1[[#This Row],[YearsAtCompany]]&lt;1,"0-1",IF(Table1[[#This Row],[YearsAtCompany]]&lt;=3,"1-3",IF(Table1[[#This Row],[YearsAtCompany]]&lt;=6,"4-6","7+")))</f>
        <v>7+</v>
      </c>
      <c r="AH554">
        <f>Table1[[#This Row],[MonthlyIncome]]*12*0.75</f>
        <v>99927</v>
      </c>
      <c r="AI5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54">
        <f>IF(Table1[[#This Row],[Attrition]]="Yes",Table1[[#This Row],[EstReplacementCost]],0)</f>
        <v>0</v>
      </c>
    </row>
    <row r="555" spans="1:36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47</v>
      </c>
      <c r="P555">
        <v>4</v>
      </c>
      <c r="Q555" t="s">
        <v>41</v>
      </c>
      <c r="R555">
        <v>2342</v>
      </c>
      <c r="S555">
        <v>22929</v>
      </c>
      <c r="T555">
        <v>0</v>
      </c>
      <c r="U555" t="s">
        <v>35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tr">
        <f>IF(Table1[[#This Row],[YearsAtCompany]]&lt;1,"0-1",IF(Table1[[#This Row],[YearsAtCompany]]&lt;=3,"1-3",IF(Table1[[#This Row],[YearsAtCompany]]&lt;=6,"4-6","7+")))</f>
        <v>4-6</v>
      </c>
      <c r="AH555">
        <f>Table1[[#This Row],[MonthlyIncome]]*12*0.75</f>
        <v>21078</v>
      </c>
      <c r="AI5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55">
        <f>IF(Table1[[#This Row],[Attrition]]="Yes",Table1[[#This Row],[EstReplacementCost]],0)</f>
        <v>0</v>
      </c>
    </row>
    <row r="556" spans="1:36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54</v>
      </c>
      <c r="P556">
        <v>1</v>
      </c>
      <c r="Q556" t="s">
        <v>41</v>
      </c>
      <c r="R556">
        <v>6811</v>
      </c>
      <c r="S556">
        <v>23398</v>
      </c>
      <c r="T556">
        <v>8</v>
      </c>
      <c r="U556" t="s">
        <v>43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tr">
        <f>IF(Table1[[#This Row],[YearsAtCompany]]&lt;1,"0-1",IF(Table1[[#This Row],[YearsAtCompany]]&lt;=3,"1-3",IF(Table1[[#This Row],[YearsAtCompany]]&lt;=6,"4-6","7+")))</f>
        <v>7+</v>
      </c>
      <c r="AH556">
        <f>Table1[[#This Row],[MonthlyIncome]]*12*0.75</f>
        <v>61299</v>
      </c>
      <c r="AI5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56">
        <f>IF(Table1[[#This Row],[Attrition]]="Yes",Table1[[#This Row],[EstReplacementCost]],0)</f>
        <v>0</v>
      </c>
    </row>
    <row r="557" spans="1:36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57</v>
      </c>
      <c r="P557">
        <v>2</v>
      </c>
      <c r="Q557" t="s">
        <v>52</v>
      </c>
      <c r="R557">
        <v>2297</v>
      </c>
      <c r="S557">
        <v>17967</v>
      </c>
      <c r="T557">
        <v>1</v>
      </c>
      <c r="U557" t="s">
        <v>43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tr">
        <f>IF(Table1[[#This Row],[YearsAtCompany]]&lt;1,"0-1",IF(Table1[[#This Row],[YearsAtCompany]]&lt;=3,"1-3",IF(Table1[[#This Row],[YearsAtCompany]]&lt;=6,"4-6","7+")))</f>
        <v>1-3</v>
      </c>
      <c r="AH557">
        <f>Table1[[#This Row],[MonthlyIncome]]*12*0.75</f>
        <v>20673</v>
      </c>
      <c r="AI5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57">
        <f>IF(Table1[[#This Row],[Attrition]]="Yes",Table1[[#This Row],[EstReplacementCost]],0)</f>
        <v>0</v>
      </c>
    </row>
    <row r="558" spans="1:36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50</v>
      </c>
      <c r="P558">
        <v>4</v>
      </c>
      <c r="Q558" t="s">
        <v>41</v>
      </c>
      <c r="R558">
        <v>2450</v>
      </c>
      <c r="S558">
        <v>10919</v>
      </c>
      <c r="T558">
        <v>2</v>
      </c>
      <c r="U558" t="s">
        <v>43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tr">
        <f>IF(Table1[[#This Row],[YearsAtCompany]]&lt;1,"0-1",IF(Table1[[#This Row],[YearsAtCompany]]&lt;=3,"1-3",IF(Table1[[#This Row],[YearsAtCompany]]&lt;=6,"4-6","7+")))</f>
        <v>1-3</v>
      </c>
      <c r="AH558">
        <f>Table1[[#This Row],[MonthlyIncome]]*12*0.75</f>
        <v>22050</v>
      </c>
      <c r="AI5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58">
        <f>IF(Table1[[#This Row],[Attrition]]="Yes",Table1[[#This Row],[EstReplacementCost]],0)</f>
        <v>0</v>
      </c>
    </row>
    <row r="559" spans="1:36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54</v>
      </c>
      <c r="P559">
        <v>1</v>
      </c>
      <c r="Q559" t="s">
        <v>52</v>
      </c>
      <c r="R559">
        <v>5093</v>
      </c>
      <c r="S559">
        <v>4761</v>
      </c>
      <c r="T559">
        <v>2</v>
      </c>
      <c r="U559" t="s">
        <v>43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tr">
        <f>IF(Table1[[#This Row],[YearsAtCompany]]&lt;1,"0-1",IF(Table1[[#This Row],[YearsAtCompany]]&lt;=3,"1-3",IF(Table1[[#This Row],[YearsAtCompany]]&lt;=6,"4-6","7+")))</f>
        <v>1-3</v>
      </c>
      <c r="AH559">
        <f>Table1[[#This Row],[MonthlyIncome]]*12*0.75</f>
        <v>45837</v>
      </c>
      <c r="AI5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59">
        <f>IF(Table1[[#This Row],[Attrition]]="Yes",Table1[[#This Row],[EstReplacementCost]],0)</f>
        <v>0</v>
      </c>
    </row>
    <row r="560" spans="1:36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50</v>
      </c>
      <c r="P560">
        <v>4</v>
      </c>
      <c r="Q560" t="s">
        <v>48</v>
      </c>
      <c r="R560">
        <v>5309</v>
      </c>
      <c r="S560">
        <v>21146</v>
      </c>
      <c r="T560">
        <v>1</v>
      </c>
      <c r="U560" t="s">
        <v>43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tr">
        <f>IF(Table1[[#This Row],[YearsAtCompany]]&lt;1,"0-1",IF(Table1[[#This Row],[YearsAtCompany]]&lt;=3,"1-3",IF(Table1[[#This Row],[YearsAtCompany]]&lt;=6,"4-6","7+")))</f>
        <v>7+</v>
      </c>
      <c r="AH560">
        <f>Table1[[#This Row],[MonthlyIncome]]*12*0.75</f>
        <v>47781</v>
      </c>
      <c r="AI5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60">
        <f>IF(Table1[[#This Row],[Attrition]]="Yes",Table1[[#This Row],[EstReplacementCost]],0)</f>
        <v>0</v>
      </c>
    </row>
    <row r="561" spans="1:36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47</v>
      </c>
      <c r="P561">
        <v>3</v>
      </c>
      <c r="Q561" t="s">
        <v>48</v>
      </c>
      <c r="R561">
        <v>3057</v>
      </c>
      <c r="S561">
        <v>20471</v>
      </c>
      <c r="T561">
        <v>6</v>
      </c>
      <c r="U561" t="s">
        <v>35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tr">
        <f>IF(Table1[[#This Row],[YearsAtCompany]]&lt;1,"0-1",IF(Table1[[#This Row],[YearsAtCompany]]&lt;=3,"1-3",IF(Table1[[#This Row],[YearsAtCompany]]&lt;=6,"4-6","7+")))</f>
        <v>1-3</v>
      </c>
      <c r="AH561">
        <f>Table1[[#This Row],[MonthlyIncome]]*12*0.75</f>
        <v>27513</v>
      </c>
      <c r="AI5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61">
        <f>IF(Table1[[#This Row],[Attrition]]="Yes",Table1[[#This Row],[EstReplacementCost]],0)</f>
        <v>0</v>
      </c>
    </row>
    <row r="562" spans="1:36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53</v>
      </c>
      <c r="P562">
        <v>1</v>
      </c>
      <c r="Q562" t="s">
        <v>52</v>
      </c>
      <c r="R562">
        <v>5121</v>
      </c>
      <c r="S562">
        <v>4187</v>
      </c>
      <c r="T562">
        <v>3</v>
      </c>
      <c r="U562" t="s">
        <v>43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tr">
        <f>IF(Table1[[#This Row],[YearsAtCompany]]&lt;1,"0-1",IF(Table1[[#This Row],[YearsAtCompany]]&lt;=3,"1-3",IF(Table1[[#This Row],[YearsAtCompany]]&lt;=6,"4-6","7+")))</f>
        <v>0-1</v>
      </c>
      <c r="AH562">
        <f>Table1[[#This Row],[MonthlyIncome]]*12*0.75</f>
        <v>46089</v>
      </c>
      <c r="AI5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62">
        <f>IF(Table1[[#This Row],[Attrition]]="Yes",Table1[[#This Row],[EstReplacementCost]],0)</f>
        <v>0</v>
      </c>
    </row>
    <row r="563" spans="1:36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56</v>
      </c>
      <c r="P563">
        <v>1</v>
      </c>
      <c r="Q563" t="s">
        <v>48</v>
      </c>
      <c r="R563">
        <v>16856</v>
      </c>
      <c r="S563">
        <v>10084</v>
      </c>
      <c r="T563">
        <v>1</v>
      </c>
      <c r="U563" t="s">
        <v>43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tr">
        <f>IF(Table1[[#This Row],[YearsAtCompany]]&lt;1,"0-1",IF(Table1[[#This Row],[YearsAtCompany]]&lt;=3,"1-3",IF(Table1[[#This Row],[YearsAtCompany]]&lt;=6,"4-6","7+")))</f>
        <v>7+</v>
      </c>
      <c r="AH563">
        <f>Table1[[#This Row],[MonthlyIncome]]*12*0.75</f>
        <v>151704</v>
      </c>
      <c r="AI5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63">
        <f>IF(Table1[[#This Row],[Attrition]]="Yes",Table1[[#This Row],[EstReplacementCost]],0)</f>
        <v>0</v>
      </c>
    </row>
    <row r="564" spans="1:36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47</v>
      </c>
      <c r="P564">
        <v>4</v>
      </c>
      <c r="Q564" t="s">
        <v>41</v>
      </c>
      <c r="R564">
        <v>2686</v>
      </c>
      <c r="S564">
        <v>5207</v>
      </c>
      <c r="T564">
        <v>1</v>
      </c>
      <c r="U564" t="s">
        <v>35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tr">
        <f>IF(Table1[[#This Row],[YearsAtCompany]]&lt;1,"0-1",IF(Table1[[#This Row],[YearsAtCompany]]&lt;=3,"1-3",IF(Table1[[#This Row],[YearsAtCompany]]&lt;=6,"4-6","7+")))</f>
        <v>7+</v>
      </c>
      <c r="AH564">
        <f>Table1[[#This Row],[MonthlyIncome]]*12*0.75</f>
        <v>24174</v>
      </c>
      <c r="AI5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64">
        <f>IF(Table1[[#This Row],[Attrition]]="Yes",Table1[[#This Row],[EstReplacementCost]],0)</f>
        <v>24174</v>
      </c>
    </row>
    <row r="565" spans="1:36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>
        <v>6180</v>
      </c>
      <c r="S565">
        <v>22807</v>
      </c>
      <c r="T565">
        <v>1</v>
      </c>
      <c r="U565" t="s">
        <v>43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tr">
        <f>IF(Table1[[#This Row],[YearsAtCompany]]&lt;1,"0-1",IF(Table1[[#This Row],[YearsAtCompany]]&lt;=3,"1-3",IF(Table1[[#This Row],[YearsAtCompany]]&lt;=6,"4-6","7+")))</f>
        <v>4-6</v>
      </c>
      <c r="AH565">
        <f>Table1[[#This Row],[MonthlyIncome]]*12*0.75</f>
        <v>55620</v>
      </c>
      <c r="AI5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65">
        <f>IF(Table1[[#This Row],[Attrition]]="Yes",Table1[[#This Row],[EstReplacementCost]],0)</f>
        <v>0</v>
      </c>
    </row>
    <row r="566" spans="1:36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57</v>
      </c>
      <c r="P566">
        <v>3</v>
      </c>
      <c r="Q566" t="s">
        <v>41</v>
      </c>
      <c r="R566">
        <v>6632</v>
      </c>
      <c r="S566">
        <v>12388</v>
      </c>
      <c r="T566">
        <v>0</v>
      </c>
      <c r="U566" t="s">
        <v>43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tr">
        <f>IF(Table1[[#This Row],[YearsAtCompany]]&lt;1,"0-1",IF(Table1[[#This Row],[YearsAtCompany]]&lt;=3,"1-3",IF(Table1[[#This Row],[YearsAtCompany]]&lt;=6,"4-6","7+")))</f>
        <v>7+</v>
      </c>
      <c r="AH566">
        <f>Table1[[#This Row],[MonthlyIncome]]*12*0.75</f>
        <v>59688</v>
      </c>
      <c r="AI5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66">
        <f>IF(Table1[[#This Row],[Attrition]]="Yes",Table1[[#This Row],[EstReplacementCost]],0)</f>
        <v>0</v>
      </c>
    </row>
    <row r="567" spans="1:36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47</v>
      </c>
      <c r="P567">
        <v>3</v>
      </c>
      <c r="Q567" t="s">
        <v>41</v>
      </c>
      <c r="R567">
        <v>3505</v>
      </c>
      <c r="S567">
        <v>19630</v>
      </c>
      <c r="T567">
        <v>1</v>
      </c>
      <c r="U567" t="s">
        <v>43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tr">
        <f>IF(Table1[[#This Row],[YearsAtCompany]]&lt;1,"0-1",IF(Table1[[#This Row],[YearsAtCompany]]&lt;=3,"1-3",IF(Table1[[#This Row],[YearsAtCompany]]&lt;=6,"4-6","7+")))</f>
        <v>1-3</v>
      </c>
      <c r="AH567">
        <f>Table1[[#This Row],[MonthlyIncome]]*12*0.75</f>
        <v>31545</v>
      </c>
      <c r="AI5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67">
        <f>IF(Table1[[#This Row],[Attrition]]="Yes",Table1[[#This Row],[EstReplacementCost]],0)</f>
        <v>0</v>
      </c>
    </row>
    <row r="568" spans="1:36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>
        <v>6397</v>
      </c>
      <c r="S568">
        <v>10339</v>
      </c>
      <c r="T568">
        <v>4</v>
      </c>
      <c r="U568" t="s">
        <v>35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tr">
        <f>IF(Table1[[#This Row],[YearsAtCompany]]&lt;1,"0-1",IF(Table1[[#This Row],[YearsAtCompany]]&lt;=3,"1-3",IF(Table1[[#This Row],[YearsAtCompany]]&lt;=6,"4-6","7+")))</f>
        <v>4-6</v>
      </c>
      <c r="AH568">
        <f>Table1[[#This Row],[MonthlyIncome]]*12*0.75</f>
        <v>57573</v>
      </c>
      <c r="AI5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68">
        <f>IF(Table1[[#This Row],[Attrition]]="Yes",Table1[[#This Row],[EstReplacementCost]],0)</f>
        <v>57573</v>
      </c>
    </row>
    <row r="569" spans="1:36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>
        <v>6274</v>
      </c>
      <c r="S569">
        <v>18686</v>
      </c>
      <c r="T569">
        <v>1</v>
      </c>
      <c r="U569" t="s">
        <v>43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tr">
        <f>IF(Table1[[#This Row],[YearsAtCompany]]&lt;1,"0-1",IF(Table1[[#This Row],[YearsAtCompany]]&lt;=3,"1-3",IF(Table1[[#This Row],[YearsAtCompany]]&lt;=6,"4-6","7+")))</f>
        <v>4-6</v>
      </c>
      <c r="AH569">
        <f>Table1[[#This Row],[MonthlyIncome]]*12*0.75</f>
        <v>56466</v>
      </c>
      <c r="AI5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69">
        <f>IF(Table1[[#This Row],[Attrition]]="Yes",Table1[[#This Row],[EstReplacementCost]],0)</f>
        <v>0</v>
      </c>
    </row>
    <row r="570" spans="1:36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56</v>
      </c>
      <c r="P570">
        <v>1</v>
      </c>
      <c r="Q570" t="s">
        <v>48</v>
      </c>
      <c r="R570">
        <v>19859</v>
      </c>
      <c r="S570">
        <v>21199</v>
      </c>
      <c r="T570">
        <v>5</v>
      </c>
      <c r="U570" t="s">
        <v>35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tr">
        <f>IF(Table1[[#This Row],[YearsAtCompany]]&lt;1,"0-1",IF(Table1[[#This Row],[YearsAtCompany]]&lt;=3,"1-3",IF(Table1[[#This Row],[YearsAtCompany]]&lt;=6,"4-6","7+")))</f>
        <v>4-6</v>
      </c>
      <c r="AH570">
        <f>Table1[[#This Row],[MonthlyIncome]]*12*0.75</f>
        <v>178731</v>
      </c>
      <c r="AI5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70">
        <f>IF(Table1[[#This Row],[Attrition]]="Yes",Table1[[#This Row],[EstReplacementCost]],0)</f>
        <v>178731</v>
      </c>
    </row>
    <row r="571" spans="1:36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>
        <v>7587</v>
      </c>
      <c r="S571">
        <v>14229</v>
      </c>
      <c r="T571">
        <v>1</v>
      </c>
      <c r="U571" t="s">
        <v>43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tr">
        <f>IF(Table1[[#This Row],[YearsAtCompany]]&lt;1,"0-1",IF(Table1[[#This Row],[YearsAtCompany]]&lt;=3,"1-3",IF(Table1[[#This Row],[YearsAtCompany]]&lt;=6,"4-6","7+")))</f>
        <v>7+</v>
      </c>
      <c r="AH571">
        <f>Table1[[#This Row],[MonthlyIncome]]*12*0.75</f>
        <v>68283</v>
      </c>
      <c r="AI5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71">
        <f>IF(Table1[[#This Row],[Attrition]]="Yes",Table1[[#This Row],[EstReplacementCost]],0)</f>
        <v>0</v>
      </c>
    </row>
    <row r="572" spans="1:36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47</v>
      </c>
      <c r="P572">
        <v>4</v>
      </c>
      <c r="Q572" t="s">
        <v>48</v>
      </c>
      <c r="R572">
        <v>4258</v>
      </c>
      <c r="S572">
        <v>26589</v>
      </c>
      <c r="T572">
        <v>0</v>
      </c>
      <c r="U572" t="s">
        <v>43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tr">
        <f>IF(Table1[[#This Row],[YearsAtCompany]]&lt;1,"0-1",IF(Table1[[#This Row],[YearsAtCompany]]&lt;=3,"1-3",IF(Table1[[#This Row],[YearsAtCompany]]&lt;=6,"4-6","7+")))</f>
        <v>4-6</v>
      </c>
      <c r="AH572">
        <f>Table1[[#This Row],[MonthlyIncome]]*12*0.75</f>
        <v>38322</v>
      </c>
      <c r="AI5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72">
        <f>IF(Table1[[#This Row],[Attrition]]="Yes",Table1[[#This Row],[EstReplacementCost]],0)</f>
        <v>0</v>
      </c>
    </row>
    <row r="573" spans="1:36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50</v>
      </c>
      <c r="P573">
        <v>4</v>
      </c>
      <c r="Q573" t="s">
        <v>52</v>
      </c>
      <c r="R573">
        <v>4364</v>
      </c>
      <c r="S573">
        <v>5288</v>
      </c>
      <c r="T573">
        <v>3</v>
      </c>
      <c r="U573" t="s">
        <v>43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tr">
        <f>IF(Table1[[#This Row],[YearsAtCompany]]&lt;1,"0-1",IF(Table1[[#This Row],[YearsAtCompany]]&lt;=3,"1-3",IF(Table1[[#This Row],[YearsAtCompany]]&lt;=6,"4-6","7+")))</f>
        <v>1-3</v>
      </c>
      <c r="AH573">
        <f>Table1[[#This Row],[MonthlyIncome]]*12*0.75</f>
        <v>39276</v>
      </c>
      <c r="AI5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73">
        <f>IF(Table1[[#This Row],[Attrition]]="Yes",Table1[[#This Row],[EstReplacementCost]],0)</f>
        <v>0</v>
      </c>
    </row>
    <row r="574" spans="1:36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54</v>
      </c>
      <c r="P574">
        <v>3</v>
      </c>
      <c r="Q574" t="s">
        <v>48</v>
      </c>
      <c r="R574">
        <v>4335</v>
      </c>
      <c r="S574">
        <v>25549</v>
      </c>
      <c r="T574">
        <v>4</v>
      </c>
      <c r="U574" t="s">
        <v>43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tr">
        <f>IF(Table1[[#This Row],[YearsAtCompany]]&lt;1,"0-1",IF(Table1[[#This Row],[YearsAtCompany]]&lt;=3,"1-3",IF(Table1[[#This Row],[YearsAtCompany]]&lt;=6,"4-6","7+")))</f>
        <v>7+</v>
      </c>
      <c r="AH574">
        <f>Table1[[#This Row],[MonthlyIncome]]*12*0.75</f>
        <v>39015</v>
      </c>
      <c r="AI5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74">
        <f>IF(Table1[[#This Row],[Attrition]]="Yes",Table1[[#This Row],[EstReplacementCost]],0)</f>
        <v>0</v>
      </c>
    </row>
    <row r="575" spans="1:36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>
        <v>5326</v>
      </c>
      <c r="S575">
        <v>3064</v>
      </c>
      <c r="T575">
        <v>6</v>
      </c>
      <c r="U575" t="s">
        <v>43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tr">
        <f>IF(Table1[[#This Row],[YearsAtCompany]]&lt;1,"0-1",IF(Table1[[#This Row],[YearsAtCompany]]&lt;=3,"1-3",IF(Table1[[#This Row],[YearsAtCompany]]&lt;=6,"4-6","7+")))</f>
        <v>4-6</v>
      </c>
      <c r="AH575">
        <f>Table1[[#This Row],[MonthlyIncome]]*12*0.75</f>
        <v>47934</v>
      </c>
      <c r="AI5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75">
        <f>IF(Table1[[#This Row],[Attrition]]="Yes",Table1[[#This Row],[EstReplacementCost]],0)</f>
        <v>47934</v>
      </c>
    </row>
    <row r="576" spans="1:36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47</v>
      </c>
      <c r="P576">
        <v>4</v>
      </c>
      <c r="Q576" t="s">
        <v>41</v>
      </c>
      <c r="R576">
        <v>3280</v>
      </c>
      <c r="S576">
        <v>13551</v>
      </c>
      <c r="T576">
        <v>2</v>
      </c>
      <c r="U576" t="s">
        <v>43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tr">
        <f>IF(Table1[[#This Row],[YearsAtCompany]]&lt;1,"0-1",IF(Table1[[#This Row],[YearsAtCompany]]&lt;=3,"1-3",IF(Table1[[#This Row],[YearsAtCompany]]&lt;=6,"4-6","7+")))</f>
        <v>4-6</v>
      </c>
      <c r="AH576">
        <f>Table1[[#This Row],[MonthlyIncome]]*12*0.75</f>
        <v>29520</v>
      </c>
      <c r="AI5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76">
        <f>IF(Table1[[#This Row],[Attrition]]="Yes",Table1[[#This Row],[EstReplacementCost]],0)</f>
        <v>0</v>
      </c>
    </row>
    <row r="577" spans="1:36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53</v>
      </c>
      <c r="P577">
        <v>1</v>
      </c>
      <c r="Q577" t="s">
        <v>52</v>
      </c>
      <c r="R577">
        <v>5485</v>
      </c>
      <c r="S577">
        <v>22670</v>
      </c>
      <c r="T577">
        <v>9</v>
      </c>
      <c r="U577" t="s">
        <v>35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tr">
        <f>IF(Table1[[#This Row],[YearsAtCompany]]&lt;1,"0-1",IF(Table1[[#This Row],[YearsAtCompany]]&lt;=3,"1-3",IF(Table1[[#This Row],[YearsAtCompany]]&lt;=6,"4-6","7+")))</f>
        <v>4-6</v>
      </c>
      <c r="AH577">
        <f>Table1[[#This Row],[MonthlyIncome]]*12*0.75</f>
        <v>49365</v>
      </c>
      <c r="AI5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77">
        <f>IF(Table1[[#This Row],[Attrition]]="Yes",Table1[[#This Row],[EstReplacementCost]],0)</f>
        <v>0</v>
      </c>
    </row>
    <row r="578" spans="1:36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48</v>
      </c>
      <c r="R578">
        <v>4342</v>
      </c>
      <c r="S578">
        <v>24008</v>
      </c>
      <c r="T578">
        <v>0</v>
      </c>
      <c r="U578" t="s">
        <v>43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tr">
        <f>IF(Table1[[#This Row],[YearsAtCompany]]&lt;1,"0-1",IF(Table1[[#This Row],[YearsAtCompany]]&lt;=3,"1-3",IF(Table1[[#This Row],[YearsAtCompany]]&lt;=6,"4-6","7+")))</f>
        <v>4-6</v>
      </c>
      <c r="AH578">
        <f>Table1[[#This Row],[MonthlyIncome]]*12*0.75</f>
        <v>39078</v>
      </c>
      <c r="AI5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78">
        <f>IF(Table1[[#This Row],[Attrition]]="Yes",Table1[[#This Row],[EstReplacementCost]],0)</f>
        <v>0</v>
      </c>
    </row>
    <row r="579" spans="1:36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47</v>
      </c>
      <c r="P579">
        <v>1</v>
      </c>
      <c r="Q579" t="s">
        <v>52</v>
      </c>
      <c r="R579">
        <v>2782</v>
      </c>
      <c r="S579">
        <v>19905</v>
      </c>
      <c r="T579">
        <v>0</v>
      </c>
      <c r="U579" t="s">
        <v>35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tr">
        <f>IF(Table1[[#This Row],[YearsAtCompany]]&lt;1,"0-1",IF(Table1[[#This Row],[YearsAtCompany]]&lt;=3,"1-3",IF(Table1[[#This Row],[YearsAtCompany]]&lt;=6,"4-6","7+")))</f>
        <v>4-6</v>
      </c>
      <c r="AH579">
        <f>Table1[[#This Row],[MonthlyIncome]]*12*0.75</f>
        <v>25038</v>
      </c>
      <c r="AI5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79">
        <f>IF(Table1[[#This Row],[Attrition]]="Yes",Table1[[#This Row],[EstReplacementCost]],0)</f>
        <v>0</v>
      </c>
    </row>
    <row r="580" spans="1:36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53</v>
      </c>
      <c r="P580">
        <v>1</v>
      </c>
      <c r="Q580" t="s">
        <v>41</v>
      </c>
      <c r="R580">
        <v>5980</v>
      </c>
      <c r="S580">
        <v>26085</v>
      </c>
      <c r="T580">
        <v>6</v>
      </c>
      <c r="U580" t="s">
        <v>35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tr">
        <f>IF(Table1[[#This Row],[YearsAtCompany]]&lt;1,"0-1",IF(Table1[[#This Row],[YearsAtCompany]]&lt;=3,"1-3",IF(Table1[[#This Row],[YearsAtCompany]]&lt;=6,"4-6","7+")))</f>
        <v>7+</v>
      </c>
      <c r="AH580">
        <f>Table1[[#This Row],[MonthlyIncome]]*12*0.75</f>
        <v>53820</v>
      </c>
      <c r="AI5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80">
        <f>IF(Table1[[#This Row],[Attrition]]="Yes",Table1[[#This Row],[EstReplacementCost]],0)</f>
        <v>0</v>
      </c>
    </row>
    <row r="581" spans="1:36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47</v>
      </c>
      <c r="P581">
        <v>1</v>
      </c>
      <c r="Q581" t="s">
        <v>41</v>
      </c>
      <c r="R581">
        <v>4381</v>
      </c>
      <c r="S581">
        <v>7530</v>
      </c>
      <c r="T581">
        <v>1</v>
      </c>
      <c r="U581" t="s">
        <v>43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tr">
        <f>IF(Table1[[#This Row],[YearsAtCompany]]&lt;1,"0-1",IF(Table1[[#This Row],[YearsAtCompany]]&lt;=3,"1-3",IF(Table1[[#This Row],[YearsAtCompany]]&lt;=6,"4-6","7+")))</f>
        <v>4-6</v>
      </c>
      <c r="AH581">
        <f>Table1[[#This Row],[MonthlyIncome]]*12*0.75</f>
        <v>39429</v>
      </c>
      <c r="AI5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81">
        <f>IF(Table1[[#This Row],[Attrition]]="Yes",Table1[[#This Row],[EstReplacementCost]],0)</f>
        <v>0</v>
      </c>
    </row>
    <row r="582" spans="1:36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57</v>
      </c>
      <c r="P582">
        <v>4</v>
      </c>
      <c r="Q582" t="s">
        <v>48</v>
      </c>
      <c r="R582">
        <v>2572</v>
      </c>
      <c r="S582">
        <v>20317</v>
      </c>
      <c r="T582">
        <v>1</v>
      </c>
      <c r="U582" t="s">
        <v>43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tr">
        <f>IF(Table1[[#This Row],[YearsAtCompany]]&lt;1,"0-1",IF(Table1[[#This Row],[YearsAtCompany]]&lt;=3,"1-3",IF(Table1[[#This Row],[YearsAtCompany]]&lt;=6,"4-6","7+")))</f>
        <v>1-3</v>
      </c>
      <c r="AH582">
        <f>Table1[[#This Row],[MonthlyIncome]]*12*0.75</f>
        <v>23148</v>
      </c>
      <c r="AI5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82">
        <f>IF(Table1[[#This Row],[Attrition]]="Yes",Table1[[#This Row],[EstReplacementCost]],0)</f>
        <v>0</v>
      </c>
    </row>
    <row r="583" spans="1:36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50</v>
      </c>
      <c r="P583">
        <v>3</v>
      </c>
      <c r="Q583" t="s">
        <v>48</v>
      </c>
      <c r="R583">
        <v>3833</v>
      </c>
      <c r="S583">
        <v>24375</v>
      </c>
      <c r="T583">
        <v>3</v>
      </c>
      <c r="U583" t="s">
        <v>43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tr">
        <f>IF(Table1[[#This Row],[YearsAtCompany]]&lt;1,"0-1",IF(Table1[[#This Row],[YearsAtCompany]]&lt;=3,"1-3",IF(Table1[[#This Row],[YearsAtCompany]]&lt;=6,"4-6","7+")))</f>
        <v>1-3</v>
      </c>
      <c r="AH583">
        <f>Table1[[#This Row],[MonthlyIncome]]*12*0.75</f>
        <v>34497</v>
      </c>
      <c r="AI5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83">
        <f>IF(Table1[[#This Row],[Attrition]]="Yes",Table1[[#This Row],[EstReplacementCost]],0)</f>
        <v>0</v>
      </c>
    </row>
    <row r="584" spans="1:36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54</v>
      </c>
      <c r="P584">
        <v>2</v>
      </c>
      <c r="Q584" t="s">
        <v>48</v>
      </c>
      <c r="R584">
        <v>4244</v>
      </c>
      <c r="S584">
        <v>9931</v>
      </c>
      <c r="T584">
        <v>1</v>
      </c>
      <c r="U584" t="s">
        <v>43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tr">
        <f>IF(Table1[[#This Row],[YearsAtCompany]]&lt;1,"0-1",IF(Table1[[#This Row],[YearsAtCompany]]&lt;=3,"1-3",IF(Table1[[#This Row],[YearsAtCompany]]&lt;=6,"4-6","7+")))</f>
        <v>7+</v>
      </c>
      <c r="AH584">
        <f>Table1[[#This Row],[MonthlyIncome]]*12*0.75</f>
        <v>38196</v>
      </c>
      <c r="AI5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84">
        <f>IF(Table1[[#This Row],[Attrition]]="Yes",Table1[[#This Row],[EstReplacementCost]],0)</f>
        <v>0</v>
      </c>
    </row>
    <row r="585" spans="1:36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48</v>
      </c>
      <c r="R585">
        <v>6500</v>
      </c>
      <c r="S585">
        <v>13305</v>
      </c>
      <c r="T585">
        <v>5</v>
      </c>
      <c r="U585" t="s">
        <v>43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tr">
        <f>IF(Table1[[#This Row],[YearsAtCompany]]&lt;1,"0-1",IF(Table1[[#This Row],[YearsAtCompany]]&lt;=3,"1-3",IF(Table1[[#This Row],[YearsAtCompany]]&lt;=6,"4-6","7+")))</f>
        <v>1-3</v>
      </c>
      <c r="AH585">
        <f>Table1[[#This Row],[MonthlyIncome]]*12*0.75</f>
        <v>58500</v>
      </c>
      <c r="AI5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85">
        <f>IF(Table1[[#This Row],[Attrition]]="Yes",Table1[[#This Row],[EstReplacementCost]],0)</f>
        <v>0</v>
      </c>
    </row>
    <row r="586" spans="1:36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56</v>
      </c>
      <c r="P586">
        <v>4</v>
      </c>
      <c r="Q586" t="s">
        <v>52</v>
      </c>
      <c r="R586">
        <v>18430</v>
      </c>
      <c r="S586">
        <v>16225</v>
      </c>
      <c r="T586">
        <v>1</v>
      </c>
      <c r="U586" t="s">
        <v>43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tr">
        <f>IF(Table1[[#This Row],[YearsAtCompany]]&lt;1,"0-1",IF(Table1[[#This Row],[YearsAtCompany]]&lt;=3,"1-3",IF(Table1[[#This Row],[YearsAtCompany]]&lt;=6,"4-6","7+")))</f>
        <v>7+</v>
      </c>
      <c r="AH586">
        <f>Table1[[#This Row],[MonthlyIncome]]*12*0.75</f>
        <v>165870</v>
      </c>
      <c r="AI5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86">
        <f>IF(Table1[[#This Row],[Attrition]]="Yes",Table1[[#This Row],[EstReplacementCost]],0)</f>
        <v>0</v>
      </c>
    </row>
    <row r="587" spans="1:36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50</v>
      </c>
      <c r="P587">
        <v>1</v>
      </c>
      <c r="Q587" t="s">
        <v>48</v>
      </c>
      <c r="R587">
        <v>1601</v>
      </c>
      <c r="S587">
        <v>3445</v>
      </c>
      <c r="T587">
        <v>1</v>
      </c>
      <c r="U587" t="s">
        <v>35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tr">
        <f>IF(Table1[[#This Row],[YearsAtCompany]]&lt;1,"0-1",IF(Table1[[#This Row],[YearsAtCompany]]&lt;=3,"1-3",IF(Table1[[#This Row],[YearsAtCompany]]&lt;=6,"4-6","7+")))</f>
        <v>0-1</v>
      </c>
      <c r="AH587">
        <f>Table1[[#This Row],[MonthlyIncome]]*12*0.75</f>
        <v>14409</v>
      </c>
      <c r="AI5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587">
        <f>IF(Table1[[#This Row],[Attrition]]="Yes",Table1[[#This Row],[EstReplacementCost]],0)</f>
        <v>14409</v>
      </c>
    </row>
    <row r="588" spans="1:36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50</v>
      </c>
      <c r="P588">
        <v>2</v>
      </c>
      <c r="Q588" t="s">
        <v>52</v>
      </c>
      <c r="R588">
        <v>2694</v>
      </c>
      <c r="S588">
        <v>26551</v>
      </c>
      <c r="T588">
        <v>1</v>
      </c>
      <c r="U588" t="s">
        <v>43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tr">
        <f>IF(Table1[[#This Row],[YearsAtCompany]]&lt;1,"0-1",IF(Table1[[#This Row],[YearsAtCompany]]&lt;=3,"1-3",IF(Table1[[#This Row],[YearsAtCompany]]&lt;=6,"4-6","7+")))</f>
        <v>1-3</v>
      </c>
      <c r="AH588">
        <f>Table1[[#This Row],[MonthlyIncome]]*12*0.75</f>
        <v>24246</v>
      </c>
      <c r="AI5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88">
        <f>IF(Table1[[#This Row],[Attrition]]="Yes",Table1[[#This Row],[EstReplacementCost]],0)</f>
        <v>0</v>
      </c>
    </row>
    <row r="589" spans="1:36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50</v>
      </c>
      <c r="P589">
        <v>3</v>
      </c>
      <c r="Q589" t="s">
        <v>48</v>
      </c>
      <c r="R589">
        <v>3149</v>
      </c>
      <c r="S589">
        <v>21821</v>
      </c>
      <c r="T589">
        <v>8</v>
      </c>
      <c r="U589" t="s">
        <v>43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tr">
        <f>IF(Table1[[#This Row],[YearsAtCompany]]&lt;1,"0-1",IF(Table1[[#This Row],[YearsAtCompany]]&lt;=3,"1-3",IF(Table1[[#This Row],[YearsAtCompany]]&lt;=6,"4-6","7+")))</f>
        <v>4-6</v>
      </c>
      <c r="AH589">
        <f>Table1[[#This Row],[MonthlyIncome]]*12*0.75</f>
        <v>28341</v>
      </c>
      <c r="AI5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89">
        <f>IF(Table1[[#This Row],[Attrition]]="Yes",Table1[[#This Row],[EstReplacementCost]],0)</f>
        <v>0</v>
      </c>
    </row>
    <row r="590" spans="1:36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58</v>
      </c>
      <c r="P590">
        <v>3</v>
      </c>
      <c r="Q590" t="s">
        <v>48</v>
      </c>
      <c r="R590">
        <v>17639</v>
      </c>
      <c r="S590">
        <v>6881</v>
      </c>
      <c r="T590">
        <v>5</v>
      </c>
      <c r="U590" t="s">
        <v>43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tr">
        <f>IF(Table1[[#This Row],[YearsAtCompany]]&lt;1,"0-1",IF(Table1[[#This Row],[YearsAtCompany]]&lt;=3,"1-3",IF(Table1[[#This Row],[YearsAtCompany]]&lt;=6,"4-6","7+")))</f>
        <v>4-6</v>
      </c>
      <c r="AH590">
        <f>Table1[[#This Row],[MonthlyIncome]]*12*0.75</f>
        <v>158751</v>
      </c>
      <c r="AI5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90">
        <f>IF(Table1[[#This Row],[Attrition]]="Yes",Table1[[#This Row],[EstReplacementCost]],0)</f>
        <v>0</v>
      </c>
    </row>
    <row r="591" spans="1:36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50</v>
      </c>
      <c r="P591">
        <v>1</v>
      </c>
      <c r="Q591" t="s">
        <v>48</v>
      </c>
      <c r="R591">
        <v>2319</v>
      </c>
      <c r="S591">
        <v>6689</v>
      </c>
      <c r="T591">
        <v>1</v>
      </c>
      <c r="U591" t="s">
        <v>35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tr">
        <f>IF(Table1[[#This Row],[YearsAtCompany]]&lt;1,"0-1",IF(Table1[[#This Row],[YearsAtCompany]]&lt;=3,"1-3",IF(Table1[[#This Row],[YearsAtCompany]]&lt;=6,"4-6","7+")))</f>
        <v>1-3</v>
      </c>
      <c r="AH591">
        <f>Table1[[#This Row],[MonthlyIncome]]*12*0.75</f>
        <v>20871</v>
      </c>
      <c r="AI5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591">
        <f>IF(Table1[[#This Row],[Attrition]]="Yes",Table1[[#This Row],[EstReplacementCost]],0)</f>
        <v>20871</v>
      </c>
    </row>
    <row r="592" spans="1:36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58</v>
      </c>
      <c r="P592">
        <v>3</v>
      </c>
      <c r="Q592" t="s">
        <v>48</v>
      </c>
      <c r="R592">
        <v>11691</v>
      </c>
      <c r="S592">
        <v>25995</v>
      </c>
      <c r="T592">
        <v>0</v>
      </c>
      <c r="U592" t="s">
        <v>43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tr">
        <f>IF(Table1[[#This Row],[YearsAtCompany]]&lt;1,"0-1",IF(Table1[[#This Row],[YearsAtCompany]]&lt;=3,"1-3",IF(Table1[[#This Row],[YearsAtCompany]]&lt;=6,"4-6","7+")))</f>
        <v>7+</v>
      </c>
      <c r="AH592">
        <f>Table1[[#This Row],[MonthlyIncome]]*12*0.75</f>
        <v>105219</v>
      </c>
      <c r="AI5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92">
        <f>IF(Table1[[#This Row],[Attrition]]="Yes",Table1[[#This Row],[EstReplacementCost]],0)</f>
        <v>0</v>
      </c>
    </row>
    <row r="593" spans="1:36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>
        <v>5324</v>
      </c>
      <c r="S593">
        <v>26507</v>
      </c>
      <c r="T593">
        <v>5</v>
      </c>
      <c r="U593" t="s">
        <v>43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tr">
        <f>IF(Table1[[#This Row],[YearsAtCompany]]&lt;1,"0-1",IF(Table1[[#This Row],[YearsAtCompany]]&lt;=3,"1-3",IF(Table1[[#This Row],[YearsAtCompany]]&lt;=6,"4-6","7+")))</f>
        <v>1-3</v>
      </c>
      <c r="AH593">
        <f>Table1[[#This Row],[MonthlyIncome]]*12*0.75</f>
        <v>47916</v>
      </c>
      <c r="AI5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93">
        <f>IF(Table1[[#This Row],[Attrition]]="Yes",Table1[[#This Row],[EstReplacementCost]],0)</f>
        <v>47916</v>
      </c>
    </row>
    <row r="594" spans="1:36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56</v>
      </c>
      <c r="P594">
        <v>4</v>
      </c>
      <c r="Q594" t="s">
        <v>48</v>
      </c>
      <c r="R594">
        <v>16752</v>
      </c>
      <c r="S594">
        <v>12982</v>
      </c>
      <c r="T594">
        <v>1</v>
      </c>
      <c r="U594" t="s">
        <v>35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tr">
        <f>IF(Table1[[#This Row],[YearsAtCompany]]&lt;1,"0-1",IF(Table1[[#This Row],[YearsAtCompany]]&lt;=3,"1-3",IF(Table1[[#This Row],[YearsAtCompany]]&lt;=6,"4-6","7+")))</f>
        <v>7+</v>
      </c>
      <c r="AH594">
        <f>Table1[[#This Row],[MonthlyIncome]]*12*0.75</f>
        <v>150768</v>
      </c>
      <c r="AI5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94">
        <f>IF(Table1[[#This Row],[Attrition]]="Yes",Table1[[#This Row],[EstReplacementCost]],0)</f>
        <v>0</v>
      </c>
    </row>
    <row r="595" spans="1:36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53</v>
      </c>
      <c r="P595">
        <v>2</v>
      </c>
      <c r="Q595" t="s">
        <v>48</v>
      </c>
      <c r="R595">
        <v>5228</v>
      </c>
      <c r="S595">
        <v>23361</v>
      </c>
      <c r="T595">
        <v>0</v>
      </c>
      <c r="U595" t="s">
        <v>43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tr">
        <f>IF(Table1[[#This Row],[YearsAtCompany]]&lt;1,"0-1",IF(Table1[[#This Row],[YearsAtCompany]]&lt;=3,"1-3",IF(Table1[[#This Row],[YearsAtCompany]]&lt;=6,"4-6","7+")))</f>
        <v>7+</v>
      </c>
      <c r="AH595">
        <f>Table1[[#This Row],[MonthlyIncome]]*12*0.75</f>
        <v>47052</v>
      </c>
      <c r="AI5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95">
        <f>IF(Table1[[#This Row],[Attrition]]="Yes",Table1[[#This Row],[EstReplacementCost]],0)</f>
        <v>0</v>
      </c>
    </row>
    <row r="596" spans="1:36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47</v>
      </c>
      <c r="P596">
        <v>3</v>
      </c>
      <c r="Q596" t="s">
        <v>48</v>
      </c>
      <c r="R596">
        <v>2700</v>
      </c>
      <c r="S596">
        <v>23779</v>
      </c>
      <c r="T596">
        <v>1</v>
      </c>
      <c r="U596" t="s">
        <v>43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tr">
        <f>IF(Table1[[#This Row],[YearsAtCompany]]&lt;1,"0-1",IF(Table1[[#This Row],[YearsAtCompany]]&lt;=3,"1-3",IF(Table1[[#This Row],[YearsAtCompany]]&lt;=6,"4-6","7+")))</f>
        <v>7+</v>
      </c>
      <c r="AH596">
        <f>Table1[[#This Row],[MonthlyIncome]]*12*0.75</f>
        <v>24300</v>
      </c>
      <c r="AI5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96">
        <f>IF(Table1[[#This Row],[Attrition]]="Yes",Table1[[#This Row],[EstReplacementCost]],0)</f>
        <v>0</v>
      </c>
    </row>
    <row r="597" spans="1:36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58</v>
      </c>
      <c r="P597">
        <v>2</v>
      </c>
      <c r="Q597" t="s">
        <v>41</v>
      </c>
      <c r="R597">
        <v>19246</v>
      </c>
      <c r="S597">
        <v>25761</v>
      </c>
      <c r="T597">
        <v>7</v>
      </c>
      <c r="U597" t="s">
        <v>35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tr">
        <f>IF(Table1[[#This Row],[YearsAtCompany]]&lt;1,"0-1",IF(Table1[[#This Row],[YearsAtCompany]]&lt;=3,"1-3",IF(Table1[[#This Row],[YearsAtCompany]]&lt;=6,"4-6","7+")))</f>
        <v>7+</v>
      </c>
      <c r="AH597">
        <f>Table1[[#This Row],[MonthlyIncome]]*12*0.75</f>
        <v>173214</v>
      </c>
      <c r="AI5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97">
        <f>IF(Table1[[#This Row],[Attrition]]="Yes",Table1[[#This Row],[EstReplacementCost]],0)</f>
        <v>173214</v>
      </c>
    </row>
    <row r="598" spans="1:36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47</v>
      </c>
      <c r="P598">
        <v>3</v>
      </c>
      <c r="Q598" t="s">
        <v>41</v>
      </c>
      <c r="R598">
        <v>2506</v>
      </c>
      <c r="S598">
        <v>13301</v>
      </c>
      <c r="T598">
        <v>3</v>
      </c>
      <c r="U598" t="s">
        <v>43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tr">
        <f>IF(Table1[[#This Row],[YearsAtCompany]]&lt;1,"0-1",IF(Table1[[#This Row],[YearsAtCompany]]&lt;=3,"1-3",IF(Table1[[#This Row],[YearsAtCompany]]&lt;=6,"4-6","7+")))</f>
        <v>1-3</v>
      </c>
      <c r="AH598">
        <f>Table1[[#This Row],[MonthlyIncome]]*12*0.75</f>
        <v>22554</v>
      </c>
      <c r="AI5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598">
        <f>IF(Table1[[#This Row],[Attrition]]="Yes",Table1[[#This Row],[EstReplacementCost]],0)</f>
        <v>0</v>
      </c>
    </row>
    <row r="599" spans="1:36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53</v>
      </c>
      <c r="P599">
        <v>4</v>
      </c>
      <c r="Q599" t="s">
        <v>48</v>
      </c>
      <c r="R599">
        <v>6062</v>
      </c>
      <c r="S599">
        <v>4051</v>
      </c>
      <c r="T599">
        <v>9</v>
      </c>
      <c r="U599" t="s">
        <v>35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tr">
        <f>IF(Table1[[#This Row],[YearsAtCompany]]&lt;1,"0-1",IF(Table1[[#This Row],[YearsAtCompany]]&lt;=3,"1-3",IF(Table1[[#This Row],[YearsAtCompany]]&lt;=6,"4-6","7+")))</f>
        <v>4-6</v>
      </c>
      <c r="AH599">
        <f>Table1[[#This Row],[MonthlyIncome]]*12*0.75</f>
        <v>54558</v>
      </c>
      <c r="AI5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599">
        <f>IF(Table1[[#This Row],[Attrition]]="Yes",Table1[[#This Row],[EstReplacementCost]],0)</f>
        <v>0</v>
      </c>
    </row>
    <row r="600" spans="1:36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47</v>
      </c>
      <c r="P600">
        <v>3</v>
      </c>
      <c r="Q600" t="s">
        <v>41</v>
      </c>
      <c r="R600">
        <v>4382</v>
      </c>
      <c r="S600">
        <v>16374</v>
      </c>
      <c r="T600">
        <v>6</v>
      </c>
      <c r="U600" t="s">
        <v>43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tr">
        <f>IF(Table1[[#This Row],[YearsAtCompany]]&lt;1,"0-1",IF(Table1[[#This Row],[YearsAtCompany]]&lt;=3,"1-3",IF(Table1[[#This Row],[YearsAtCompany]]&lt;=6,"4-6","7+")))</f>
        <v>1-3</v>
      </c>
      <c r="AH600">
        <f>Table1[[#This Row],[MonthlyIncome]]*12*0.75</f>
        <v>39438</v>
      </c>
      <c r="AI6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00">
        <f>IF(Table1[[#This Row],[Attrition]]="Yes",Table1[[#This Row],[EstReplacementCost]],0)</f>
        <v>39438</v>
      </c>
    </row>
    <row r="601" spans="1:36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61</v>
      </c>
      <c r="P601">
        <v>2</v>
      </c>
      <c r="Q601" t="s">
        <v>48</v>
      </c>
      <c r="R601">
        <v>2143</v>
      </c>
      <c r="S601">
        <v>25527</v>
      </c>
      <c r="T601">
        <v>4</v>
      </c>
      <c r="U601" t="s">
        <v>43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tr">
        <f>IF(Table1[[#This Row],[YearsAtCompany]]&lt;1,"0-1",IF(Table1[[#This Row],[YearsAtCompany]]&lt;=3,"1-3",IF(Table1[[#This Row],[YearsAtCompany]]&lt;=6,"4-6","7+")))</f>
        <v>4-6</v>
      </c>
      <c r="AH601">
        <f>Table1[[#This Row],[MonthlyIncome]]*12*0.75</f>
        <v>19287</v>
      </c>
      <c r="AI6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01">
        <f>IF(Table1[[#This Row],[Attrition]]="Yes",Table1[[#This Row],[EstReplacementCost]],0)</f>
        <v>0</v>
      </c>
    </row>
    <row r="602" spans="1:36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53</v>
      </c>
      <c r="P602">
        <v>3</v>
      </c>
      <c r="Q602" t="s">
        <v>48</v>
      </c>
      <c r="R602">
        <v>6162</v>
      </c>
      <c r="S602">
        <v>19124</v>
      </c>
      <c r="T602">
        <v>1</v>
      </c>
      <c r="U602" t="s">
        <v>43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tr">
        <f>IF(Table1[[#This Row],[YearsAtCompany]]&lt;1,"0-1",IF(Table1[[#This Row],[YearsAtCompany]]&lt;=3,"1-3",IF(Table1[[#This Row],[YearsAtCompany]]&lt;=6,"4-6","7+")))</f>
        <v>7+</v>
      </c>
      <c r="AH602">
        <f>Table1[[#This Row],[MonthlyIncome]]*12*0.75</f>
        <v>55458</v>
      </c>
      <c r="AI6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02">
        <f>IF(Table1[[#This Row],[Attrition]]="Yes",Table1[[#This Row],[EstReplacementCost]],0)</f>
        <v>0</v>
      </c>
    </row>
    <row r="603" spans="1:36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50</v>
      </c>
      <c r="P603">
        <v>3</v>
      </c>
      <c r="Q603" t="s">
        <v>41</v>
      </c>
      <c r="R603">
        <v>5094</v>
      </c>
      <c r="S603">
        <v>11983</v>
      </c>
      <c r="T603">
        <v>6</v>
      </c>
      <c r="U603" t="s">
        <v>43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tr">
        <f>IF(Table1[[#This Row],[YearsAtCompany]]&lt;1,"0-1",IF(Table1[[#This Row],[YearsAtCompany]]&lt;=3,"1-3",IF(Table1[[#This Row],[YearsAtCompany]]&lt;=6,"4-6","7+")))</f>
        <v>1-3</v>
      </c>
      <c r="AH603">
        <f>Table1[[#This Row],[MonthlyIncome]]*12*0.75</f>
        <v>45846</v>
      </c>
      <c r="AI6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03">
        <f>IF(Table1[[#This Row],[Attrition]]="Yes",Table1[[#This Row],[EstReplacementCost]],0)</f>
        <v>0</v>
      </c>
    </row>
    <row r="604" spans="1:36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53</v>
      </c>
      <c r="P604">
        <v>4</v>
      </c>
      <c r="Q604" t="s">
        <v>41</v>
      </c>
      <c r="R604">
        <v>6877</v>
      </c>
      <c r="S604">
        <v>20234</v>
      </c>
      <c r="T604">
        <v>5</v>
      </c>
      <c r="U604" t="s">
        <v>35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tr">
        <f>IF(Table1[[#This Row],[YearsAtCompany]]&lt;1,"0-1",IF(Table1[[#This Row],[YearsAtCompany]]&lt;=3,"1-3",IF(Table1[[#This Row],[YearsAtCompany]]&lt;=6,"4-6","7+")))</f>
        <v>0-1</v>
      </c>
      <c r="AH604">
        <f>Table1[[#This Row],[MonthlyIncome]]*12*0.75</f>
        <v>61893</v>
      </c>
      <c r="AI6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04">
        <f>IF(Table1[[#This Row],[Attrition]]="Yes",Table1[[#This Row],[EstReplacementCost]],0)</f>
        <v>0</v>
      </c>
    </row>
    <row r="605" spans="1:36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47</v>
      </c>
      <c r="P605">
        <v>3</v>
      </c>
      <c r="Q605" t="s">
        <v>41</v>
      </c>
      <c r="R605">
        <v>2274</v>
      </c>
      <c r="S605">
        <v>6153</v>
      </c>
      <c r="T605">
        <v>1</v>
      </c>
      <c r="U605" t="s">
        <v>43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tr">
        <f>IF(Table1[[#This Row],[YearsAtCompany]]&lt;1,"0-1",IF(Table1[[#This Row],[YearsAtCompany]]&lt;=3,"1-3",IF(Table1[[#This Row],[YearsAtCompany]]&lt;=6,"4-6","7+")))</f>
        <v>1-3</v>
      </c>
      <c r="AH605">
        <f>Table1[[#This Row],[MonthlyIncome]]*12*0.75</f>
        <v>20466</v>
      </c>
      <c r="AI6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05">
        <f>IF(Table1[[#This Row],[Attrition]]="Yes",Table1[[#This Row],[EstReplacementCost]],0)</f>
        <v>0</v>
      </c>
    </row>
    <row r="606" spans="1:36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53</v>
      </c>
      <c r="P606">
        <v>2</v>
      </c>
      <c r="Q606" t="s">
        <v>48</v>
      </c>
      <c r="R606">
        <v>4434</v>
      </c>
      <c r="S606">
        <v>11806</v>
      </c>
      <c r="T606">
        <v>1</v>
      </c>
      <c r="U606" t="s">
        <v>43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tr">
        <f>IF(Table1[[#This Row],[YearsAtCompany]]&lt;1,"0-1",IF(Table1[[#This Row],[YearsAtCompany]]&lt;=3,"1-3",IF(Table1[[#This Row],[YearsAtCompany]]&lt;=6,"4-6","7+")))</f>
        <v>7+</v>
      </c>
      <c r="AH606">
        <f>Table1[[#This Row],[MonthlyIncome]]*12*0.75</f>
        <v>39906</v>
      </c>
      <c r="AI6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06">
        <f>IF(Table1[[#This Row],[Attrition]]="Yes",Table1[[#This Row],[EstReplacementCost]],0)</f>
        <v>0</v>
      </c>
    </row>
    <row r="607" spans="1:36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54</v>
      </c>
      <c r="P607">
        <v>1</v>
      </c>
      <c r="Q607" t="s">
        <v>52</v>
      </c>
      <c r="R607">
        <v>6288</v>
      </c>
      <c r="S607">
        <v>4284</v>
      </c>
      <c r="T607">
        <v>2</v>
      </c>
      <c r="U607" t="s">
        <v>43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tr">
        <f>IF(Table1[[#This Row],[YearsAtCompany]]&lt;1,"0-1",IF(Table1[[#This Row],[YearsAtCompany]]&lt;=3,"1-3",IF(Table1[[#This Row],[YearsAtCompany]]&lt;=6,"4-6","7+")))</f>
        <v>4-6</v>
      </c>
      <c r="AH607">
        <f>Table1[[#This Row],[MonthlyIncome]]*12*0.75</f>
        <v>56592</v>
      </c>
      <c r="AI6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07">
        <f>IF(Table1[[#This Row],[Attrition]]="Yes",Table1[[#This Row],[EstReplacementCost]],0)</f>
        <v>0</v>
      </c>
    </row>
    <row r="608" spans="1:36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47</v>
      </c>
      <c r="P608">
        <v>4</v>
      </c>
      <c r="Q608" t="s">
        <v>41</v>
      </c>
      <c r="R608">
        <v>2553</v>
      </c>
      <c r="S608">
        <v>8306</v>
      </c>
      <c r="T608">
        <v>1</v>
      </c>
      <c r="U608" t="s">
        <v>43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tr">
        <f>IF(Table1[[#This Row],[YearsAtCompany]]&lt;1,"0-1",IF(Table1[[#This Row],[YearsAtCompany]]&lt;=3,"1-3",IF(Table1[[#This Row],[YearsAtCompany]]&lt;=6,"4-6","7+")))</f>
        <v>4-6</v>
      </c>
      <c r="AH608">
        <f>Table1[[#This Row],[MonthlyIncome]]*12*0.75</f>
        <v>22977</v>
      </c>
      <c r="AI6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08">
        <f>IF(Table1[[#This Row],[Attrition]]="Yes",Table1[[#This Row],[EstReplacementCost]],0)</f>
        <v>0</v>
      </c>
    </row>
    <row r="609" spans="1:36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48</v>
      </c>
      <c r="R609">
        <v>7654</v>
      </c>
      <c r="S609">
        <v>5860</v>
      </c>
      <c r="T609">
        <v>1</v>
      </c>
      <c r="U609" t="s">
        <v>43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tr">
        <f>IF(Table1[[#This Row],[YearsAtCompany]]&lt;1,"0-1",IF(Table1[[#This Row],[YearsAtCompany]]&lt;=3,"1-3",IF(Table1[[#This Row],[YearsAtCompany]]&lt;=6,"4-6","7+")))</f>
        <v>7+</v>
      </c>
      <c r="AH609">
        <f>Table1[[#This Row],[MonthlyIncome]]*12*0.75</f>
        <v>68886</v>
      </c>
      <c r="AI6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09">
        <f>IF(Table1[[#This Row],[Attrition]]="Yes",Table1[[#This Row],[EstReplacementCost]],0)</f>
        <v>68886</v>
      </c>
    </row>
    <row r="610" spans="1:36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>
        <v>5160</v>
      </c>
      <c r="S610">
        <v>21519</v>
      </c>
      <c r="T610">
        <v>4</v>
      </c>
      <c r="U610" t="s">
        <v>43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tr">
        <f>IF(Table1[[#This Row],[YearsAtCompany]]&lt;1,"0-1",IF(Table1[[#This Row],[YearsAtCompany]]&lt;=3,"1-3",IF(Table1[[#This Row],[YearsAtCompany]]&lt;=6,"4-6","7+")))</f>
        <v>7+</v>
      </c>
      <c r="AH610">
        <f>Table1[[#This Row],[MonthlyIncome]]*12*0.75</f>
        <v>46440</v>
      </c>
      <c r="AI6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10">
        <f>IF(Table1[[#This Row],[Attrition]]="Yes",Table1[[#This Row],[EstReplacementCost]],0)</f>
        <v>46440</v>
      </c>
    </row>
    <row r="611" spans="1:36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58</v>
      </c>
      <c r="P611">
        <v>1</v>
      </c>
      <c r="Q611" t="s">
        <v>48</v>
      </c>
      <c r="R611">
        <v>17159</v>
      </c>
      <c r="S611">
        <v>5200</v>
      </c>
      <c r="T611">
        <v>6</v>
      </c>
      <c r="U611" t="s">
        <v>43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tr">
        <f>IF(Table1[[#This Row],[YearsAtCompany]]&lt;1,"0-1",IF(Table1[[#This Row],[YearsAtCompany]]&lt;=3,"1-3",IF(Table1[[#This Row],[YearsAtCompany]]&lt;=6,"4-6","7+")))</f>
        <v>4-6</v>
      </c>
      <c r="AH611">
        <f>Table1[[#This Row],[MonthlyIncome]]*12*0.75</f>
        <v>154431</v>
      </c>
      <c r="AI6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11">
        <f>IF(Table1[[#This Row],[Attrition]]="Yes",Table1[[#This Row],[EstReplacementCost]],0)</f>
        <v>0</v>
      </c>
    </row>
    <row r="612" spans="1:36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58</v>
      </c>
      <c r="P612">
        <v>4</v>
      </c>
      <c r="Q612" t="s">
        <v>52</v>
      </c>
      <c r="R612">
        <v>12808</v>
      </c>
      <c r="S612">
        <v>8842</v>
      </c>
      <c r="T612">
        <v>1</v>
      </c>
      <c r="U612" t="s">
        <v>35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tr">
        <f>IF(Table1[[#This Row],[YearsAtCompany]]&lt;1,"0-1",IF(Table1[[#This Row],[YearsAtCompany]]&lt;=3,"1-3",IF(Table1[[#This Row],[YearsAtCompany]]&lt;=6,"4-6","7+")))</f>
        <v>7+</v>
      </c>
      <c r="AH612">
        <f>Table1[[#This Row],[MonthlyIncome]]*12*0.75</f>
        <v>115272</v>
      </c>
      <c r="AI6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12">
        <f>IF(Table1[[#This Row],[Attrition]]="Yes",Table1[[#This Row],[EstReplacementCost]],0)</f>
        <v>0</v>
      </c>
    </row>
    <row r="613" spans="1:36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53</v>
      </c>
      <c r="P613">
        <v>3</v>
      </c>
      <c r="Q613" t="s">
        <v>41</v>
      </c>
      <c r="R613">
        <v>10221</v>
      </c>
      <c r="S613">
        <v>18869</v>
      </c>
      <c r="T613">
        <v>3</v>
      </c>
      <c r="U613" t="s">
        <v>43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tr">
        <f>IF(Table1[[#This Row],[YearsAtCompany]]&lt;1,"0-1",IF(Table1[[#This Row],[YearsAtCompany]]&lt;=3,"1-3",IF(Table1[[#This Row],[YearsAtCompany]]&lt;=6,"4-6","7+")))</f>
        <v>7+</v>
      </c>
      <c r="AH613">
        <f>Table1[[#This Row],[MonthlyIncome]]*12*0.75</f>
        <v>91989</v>
      </c>
      <c r="AI6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13">
        <f>IF(Table1[[#This Row],[Attrition]]="Yes",Table1[[#This Row],[EstReplacementCost]],0)</f>
        <v>0</v>
      </c>
    </row>
    <row r="614" spans="1:36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48</v>
      </c>
      <c r="R614">
        <v>4779</v>
      </c>
      <c r="S614">
        <v>3698</v>
      </c>
      <c r="T614">
        <v>1</v>
      </c>
      <c r="U614" t="s">
        <v>35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tr">
        <f>IF(Table1[[#This Row],[YearsAtCompany]]&lt;1,"0-1",IF(Table1[[#This Row],[YearsAtCompany]]&lt;=3,"1-3",IF(Table1[[#This Row],[YearsAtCompany]]&lt;=6,"4-6","7+")))</f>
        <v>7+</v>
      </c>
      <c r="AH614">
        <f>Table1[[#This Row],[MonthlyIncome]]*12*0.75</f>
        <v>43011</v>
      </c>
      <c r="AI6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14">
        <f>IF(Table1[[#This Row],[Attrition]]="Yes",Table1[[#This Row],[EstReplacementCost]],0)</f>
        <v>0</v>
      </c>
    </row>
    <row r="615" spans="1:36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61</v>
      </c>
      <c r="P615">
        <v>4</v>
      </c>
      <c r="Q615" t="s">
        <v>48</v>
      </c>
      <c r="R615">
        <v>3737</v>
      </c>
      <c r="S615">
        <v>2243</v>
      </c>
      <c r="T615">
        <v>0</v>
      </c>
      <c r="U615" t="s">
        <v>43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tr">
        <f>IF(Table1[[#This Row],[YearsAtCompany]]&lt;1,"0-1",IF(Table1[[#This Row],[YearsAtCompany]]&lt;=3,"1-3",IF(Table1[[#This Row],[YearsAtCompany]]&lt;=6,"4-6","7+")))</f>
        <v>1-3</v>
      </c>
      <c r="AH615">
        <f>Table1[[#This Row],[MonthlyIncome]]*12*0.75</f>
        <v>33633</v>
      </c>
      <c r="AI6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15">
        <f>IF(Table1[[#This Row],[Attrition]]="Yes",Table1[[#This Row],[EstReplacementCost]],0)</f>
        <v>0</v>
      </c>
    </row>
    <row r="616" spans="1:36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47</v>
      </c>
      <c r="P616">
        <v>3</v>
      </c>
      <c r="Q616" t="s">
        <v>48</v>
      </c>
      <c r="R616">
        <v>2366</v>
      </c>
      <c r="S616">
        <v>20898</v>
      </c>
      <c r="T616">
        <v>1</v>
      </c>
      <c r="U616" t="s">
        <v>35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tr">
        <f>IF(Table1[[#This Row],[YearsAtCompany]]&lt;1,"0-1",IF(Table1[[#This Row],[YearsAtCompany]]&lt;=3,"1-3",IF(Table1[[#This Row],[YearsAtCompany]]&lt;=6,"4-6","7+")))</f>
        <v>7+</v>
      </c>
      <c r="AH616">
        <f>Table1[[#This Row],[MonthlyIncome]]*12*0.75</f>
        <v>21294</v>
      </c>
      <c r="AI6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16">
        <f>IF(Table1[[#This Row],[Attrition]]="Yes",Table1[[#This Row],[EstReplacementCost]],0)</f>
        <v>21294</v>
      </c>
    </row>
    <row r="617" spans="1:36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47</v>
      </c>
      <c r="P617">
        <v>4</v>
      </c>
      <c r="Q617" t="s">
        <v>48</v>
      </c>
      <c r="R617">
        <v>1706</v>
      </c>
      <c r="S617">
        <v>16571</v>
      </c>
      <c r="T617">
        <v>1</v>
      </c>
      <c r="U617" t="s">
        <v>43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tr">
        <f>IF(Table1[[#This Row],[YearsAtCompany]]&lt;1,"0-1",IF(Table1[[#This Row],[YearsAtCompany]]&lt;=3,"1-3",IF(Table1[[#This Row],[YearsAtCompany]]&lt;=6,"4-6","7+")))</f>
        <v>0-1</v>
      </c>
      <c r="AH617">
        <f>Table1[[#This Row],[MonthlyIncome]]*12*0.75</f>
        <v>15354</v>
      </c>
      <c r="AI6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17">
        <f>IF(Table1[[#This Row],[Attrition]]="Yes",Table1[[#This Row],[EstReplacementCost]],0)</f>
        <v>0</v>
      </c>
    </row>
    <row r="618" spans="1:36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56</v>
      </c>
      <c r="P618">
        <v>3</v>
      </c>
      <c r="Q618" t="s">
        <v>48</v>
      </c>
      <c r="R618">
        <v>16307</v>
      </c>
      <c r="S618">
        <v>5594</v>
      </c>
      <c r="T618">
        <v>2</v>
      </c>
      <c r="U618" t="s">
        <v>43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tr">
        <f>IF(Table1[[#This Row],[YearsAtCompany]]&lt;1,"0-1",IF(Table1[[#This Row],[YearsAtCompany]]&lt;=3,"1-3",IF(Table1[[#This Row],[YearsAtCompany]]&lt;=6,"4-6","7+")))</f>
        <v>7+</v>
      </c>
      <c r="AH618">
        <f>Table1[[#This Row],[MonthlyIncome]]*12*0.75</f>
        <v>146763</v>
      </c>
      <c r="AI6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18">
        <f>IF(Table1[[#This Row],[Attrition]]="Yes",Table1[[#This Row],[EstReplacementCost]],0)</f>
        <v>0</v>
      </c>
    </row>
    <row r="619" spans="1:36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54</v>
      </c>
      <c r="P619">
        <v>2</v>
      </c>
      <c r="Q619" t="s">
        <v>41</v>
      </c>
      <c r="R619">
        <v>5933</v>
      </c>
      <c r="S619">
        <v>5197</v>
      </c>
      <c r="T619">
        <v>9</v>
      </c>
      <c r="U619" t="s">
        <v>43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tr">
        <f>IF(Table1[[#This Row],[YearsAtCompany]]&lt;1,"0-1",IF(Table1[[#This Row],[YearsAtCompany]]&lt;=3,"1-3",IF(Table1[[#This Row],[YearsAtCompany]]&lt;=6,"4-6","7+")))</f>
        <v>4-6</v>
      </c>
      <c r="AH619">
        <f>Table1[[#This Row],[MonthlyIncome]]*12*0.75</f>
        <v>53397</v>
      </c>
      <c r="AI6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19">
        <f>IF(Table1[[#This Row],[Attrition]]="Yes",Table1[[#This Row],[EstReplacementCost]],0)</f>
        <v>0</v>
      </c>
    </row>
    <row r="620" spans="1:36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47</v>
      </c>
      <c r="P620">
        <v>1</v>
      </c>
      <c r="Q620" t="s">
        <v>41</v>
      </c>
      <c r="R620">
        <v>3424</v>
      </c>
      <c r="S620">
        <v>21632</v>
      </c>
      <c r="T620">
        <v>7</v>
      </c>
      <c r="U620" t="s">
        <v>43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tr">
        <f>IF(Table1[[#This Row],[YearsAtCompany]]&lt;1,"0-1",IF(Table1[[#This Row],[YearsAtCompany]]&lt;=3,"1-3",IF(Table1[[#This Row],[YearsAtCompany]]&lt;=6,"4-6","7+")))</f>
        <v>4-6</v>
      </c>
      <c r="AH620">
        <f>Table1[[#This Row],[MonthlyIncome]]*12*0.75</f>
        <v>30816</v>
      </c>
      <c r="AI6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20">
        <f>IF(Table1[[#This Row],[Attrition]]="Yes",Table1[[#This Row],[EstReplacementCost]],0)</f>
        <v>0</v>
      </c>
    </row>
    <row r="621" spans="1:36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52</v>
      </c>
      <c r="R621">
        <v>4037</v>
      </c>
      <c r="S621">
        <v>21816</v>
      </c>
      <c r="T621">
        <v>1</v>
      </c>
      <c r="U621" t="s">
        <v>43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tr">
        <f>IF(Table1[[#This Row],[YearsAtCompany]]&lt;1,"0-1",IF(Table1[[#This Row],[YearsAtCompany]]&lt;=3,"1-3",IF(Table1[[#This Row],[YearsAtCompany]]&lt;=6,"4-6","7+")))</f>
        <v>7+</v>
      </c>
      <c r="AH621">
        <f>Table1[[#This Row],[MonthlyIncome]]*12*0.75</f>
        <v>36333</v>
      </c>
      <c r="AI6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21">
        <f>IF(Table1[[#This Row],[Attrition]]="Yes",Table1[[#This Row],[EstReplacementCost]],0)</f>
        <v>0</v>
      </c>
    </row>
    <row r="622" spans="1:36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47</v>
      </c>
      <c r="P622">
        <v>1</v>
      </c>
      <c r="Q622" t="s">
        <v>41</v>
      </c>
      <c r="R622">
        <v>2559</v>
      </c>
      <c r="S622">
        <v>17852</v>
      </c>
      <c r="T622">
        <v>1</v>
      </c>
      <c r="U622" t="s">
        <v>43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tr">
        <f>IF(Table1[[#This Row],[YearsAtCompany]]&lt;1,"0-1",IF(Table1[[#This Row],[YearsAtCompany]]&lt;=3,"1-3",IF(Table1[[#This Row],[YearsAtCompany]]&lt;=6,"4-6","7+")))</f>
        <v>4-6</v>
      </c>
      <c r="AH622">
        <f>Table1[[#This Row],[MonthlyIncome]]*12*0.75</f>
        <v>23031</v>
      </c>
      <c r="AI6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22">
        <f>IF(Table1[[#This Row],[Attrition]]="Yes",Table1[[#This Row],[EstReplacementCost]],0)</f>
        <v>0</v>
      </c>
    </row>
    <row r="623" spans="1:36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48</v>
      </c>
      <c r="R623">
        <v>6201</v>
      </c>
      <c r="S623">
        <v>2823</v>
      </c>
      <c r="T623">
        <v>1</v>
      </c>
      <c r="U623" t="s">
        <v>35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tr">
        <f>IF(Table1[[#This Row],[YearsAtCompany]]&lt;1,"0-1",IF(Table1[[#This Row],[YearsAtCompany]]&lt;=3,"1-3",IF(Table1[[#This Row],[YearsAtCompany]]&lt;=6,"4-6","7+")))</f>
        <v>7+</v>
      </c>
      <c r="AH623">
        <f>Table1[[#This Row],[MonthlyIncome]]*12*0.75</f>
        <v>55809</v>
      </c>
      <c r="AI6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23">
        <f>IF(Table1[[#This Row],[Attrition]]="Yes",Table1[[#This Row],[EstReplacementCost]],0)</f>
        <v>0</v>
      </c>
    </row>
    <row r="624" spans="1:36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52</v>
      </c>
      <c r="R624">
        <v>4403</v>
      </c>
      <c r="S624">
        <v>9250</v>
      </c>
      <c r="T624">
        <v>2</v>
      </c>
      <c r="U624" t="s">
        <v>43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tr">
        <f>IF(Table1[[#This Row],[YearsAtCompany]]&lt;1,"0-1",IF(Table1[[#This Row],[YearsAtCompany]]&lt;=3,"1-3",IF(Table1[[#This Row],[YearsAtCompany]]&lt;=6,"4-6","7+")))</f>
        <v>4-6</v>
      </c>
      <c r="AH624">
        <f>Table1[[#This Row],[MonthlyIncome]]*12*0.75</f>
        <v>39627</v>
      </c>
      <c r="AI6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24">
        <f>IF(Table1[[#This Row],[Attrition]]="Yes",Table1[[#This Row],[EstReplacementCost]],0)</f>
        <v>0</v>
      </c>
    </row>
    <row r="625" spans="1:36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47</v>
      </c>
      <c r="P625">
        <v>4</v>
      </c>
      <c r="Q625" t="s">
        <v>52</v>
      </c>
      <c r="R625">
        <v>3761</v>
      </c>
      <c r="S625">
        <v>2373</v>
      </c>
      <c r="T625">
        <v>9</v>
      </c>
      <c r="U625" t="s">
        <v>43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tr">
        <f>IF(Table1[[#This Row],[YearsAtCompany]]&lt;1,"0-1",IF(Table1[[#This Row],[YearsAtCompany]]&lt;=3,"1-3",IF(Table1[[#This Row],[YearsAtCompany]]&lt;=6,"4-6","7+")))</f>
        <v>4-6</v>
      </c>
      <c r="AH625">
        <f>Table1[[#This Row],[MonthlyIncome]]*12*0.75</f>
        <v>33849</v>
      </c>
      <c r="AI6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25">
        <f>IF(Table1[[#This Row],[Attrition]]="Yes",Table1[[#This Row],[EstReplacementCost]],0)</f>
        <v>0</v>
      </c>
    </row>
    <row r="626" spans="1:36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48</v>
      </c>
      <c r="R626">
        <v>10934</v>
      </c>
      <c r="S626">
        <v>20715</v>
      </c>
      <c r="T626">
        <v>7</v>
      </c>
      <c r="U626" t="s">
        <v>35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tr">
        <f>IF(Table1[[#This Row],[YearsAtCompany]]&lt;1,"0-1",IF(Table1[[#This Row],[YearsAtCompany]]&lt;=3,"1-3",IF(Table1[[#This Row],[YearsAtCompany]]&lt;=6,"4-6","7+")))</f>
        <v>4-6</v>
      </c>
      <c r="AH626">
        <f>Table1[[#This Row],[MonthlyIncome]]*12*0.75</f>
        <v>98406</v>
      </c>
      <c r="AI6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26">
        <f>IF(Table1[[#This Row],[Attrition]]="Yes",Table1[[#This Row],[EstReplacementCost]],0)</f>
        <v>0</v>
      </c>
    </row>
    <row r="627" spans="1:36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52</v>
      </c>
      <c r="R627">
        <v>10761</v>
      </c>
      <c r="S627">
        <v>19239</v>
      </c>
      <c r="T627">
        <v>4</v>
      </c>
      <c r="U627" t="s">
        <v>35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tr">
        <f>IF(Table1[[#This Row],[YearsAtCompany]]&lt;1,"0-1",IF(Table1[[#This Row],[YearsAtCompany]]&lt;=3,"1-3",IF(Table1[[#This Row],[YearsAtCompany]]&lt;=6,"4-6","7+")))</f>
        <v>4-6</v>
      </c>
      <c r="AH627">
        <f>Table1[[#This Row],[MonthlyIncome]]*12*0.75</f>
        <v>96849</v>
      </c>
      <c r="AI6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27">
        <f>IF(Table1[[#This Row],[Attrition]]="Yes",Table1[[#This Row],[EstReplacementCost]],0)</f>
        <v>0</v>
      </c>
    </row>
    <row r="628" spans="1:36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47</v>
      </c>
      <c r="P628">
        <v>3</v>
      </c>
      <c r="Q628" t="s">
        <v>48</v>
      </c>
      <c r="R628">
        <v>5175</v>
      </c>
      <c r="S628">
        <v>22162</v>
      </c>
      <c r="T628">
        <v>5</v>
      </c>
      <c r="U628" t="s">
        <v>43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tr">
        <f>IF(Table1[[#This Row],[YearsAtCompany]]&lt;1,"0-1",IF(Table1[[#This Row],[YearsAtCompany]]&lt;=3,"1-3",IF(Table1[[#This Row],[YearsAtCompany]]&lt;=6,"4-6","7+")))</f>
        <v>4-6</v>
      </c>
      <c r="AH628">
        <f>Table1[[#This Row],[MonthlyIncome]]*12*0.75</f>
        <v>46575</v>
      </c>
      <c r="AI6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28">
        <f>IF(Table1[[#This Row],[Attrition]]="Yes",Table1[[#This Row],[EstReplacementCost]],0)</f>
        <v>0</v>
      </c>
    </row>
    <row r="629" spans="1:36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53</v>
      </c>
      <c r="P629">
        <v>4</v>
      </c>
      <c r="Q629" t="s">
        <v>48</v>
      </c>
      <c r="R629">
        <v>13826</v>
      </c>
      <c r="S629">
        <v>19028</v>
      </c>
      <c r="T629">
        <v>3</v>
      </c>
      <c r="U629" t="s">
        <v>43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tr">
        <f>IF(Table1[[#This Row],[YearsAtCompany]]&lt;1,"0-1",IF(Table1[[#This Row],[YearsAtCompany]]&lt;=3,"1-3",IF(Table1[[#This Row],[YearsAtCompany]]&lt;=6,"4-6","7+")))</f>
        <v>7+</v>
      </c>
      <c r="AH629">
        <f>Table1[[#This Row],[MonthlyIncome]]*12*0.75</f>
        <v>124434</v>
      </c>
      <c r="AI6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29">
        <f>IF(Table1[[#This Row],[Attrition]]="Yes",Table1[[#This Row],[EstReplacementCost]],0)</f>
        <v>0</v>
      </c>
    </row>
    <row r="630" spans="1:36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52</v>
      </c>
      <c r="R630">
        <v>6334</v>
      </c>
      <c r="S630">
        <v>24558</v>
      </c>
      <c r="T630">
        <v>4</v>
      </c>
      <c r="U630" t="s">
        <v>43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tr">
        <f>IF(Table1[[#This Row],[YearsAtCompany]]&lt;1,"0-1",IF(Table1[[#This Row],[YearsAtCompany]]&lt;=3,"1-3",IF(Table1[[#This Row],[YearsAtCompany]]&lt;=6,"4-6","7+")))</f>
        <v>1-3</v>
      </c>
      <c r="AH630">
        <f>Table1[[#This Row],[MonthlyIncome]]*12*0.75</f>
        <v>57006</v>
      </c>
      <c r="AI6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30">
        <f>IF(Table1[[#This Row],[Attrition]]="Yes",Table1[[#This Row],[EstReplacementCost]],0)</f>
        <v>0</v>
      </c>
    </row>
    <row r="631" spans="1:36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61</v>
      </c>
      <c r="P631">
        <v>4</v>
      </c>
      <c r="Q631" t="s">
        <v>52</v>
      </c>
      <c r="R631">
        <v>4936</v>
      </c>
      <c r="S631">
        <v>23965</v>
      </c>
      <c r="T631">
        <v>1</v>
      </c>
      <c r="U631" t="s">
        <v>43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tr">
        <f>IF(Table1[[#This Row],[YearsAtCompany]]&lt;1,"0-1",IF(Table1[[#This Row],[YearsAtCompany]]&lt;=3,"1-3",IF(Table1[[#This Row],[YearsAtCompany]]&lt;=6,"4-6","7+")))</f>
        <v>4-6</v>
      </c>
      <c r="AH631">
        <f>Table1[[#This Row],[MonthlyIncome]]*12*0.75</f>
        <v>44424</v>
      </c>
      <c r="AI6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31">
        <f>IF(Table1[[#This Row],[Attrition]]="Yes",Table1[[#This Row],[EstReplacementCost]],0)</f>
        <v>0</v>
      </c>
    </row>
    <row r="632" spans="1:36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53</v>
      </c>
      <c r="P632">
        <v>4</v>
      </c>
      <c r="Q632" t="s">
        <v>48</v>
      </c>
      <c r="R632">
        <v>4775</v>
      </c>
      <c r="S632">
        <v>19146</v>
      </c>
      <c r="T632">
        <v>6</v>
      </c>
      <c r="U632" t="s">
        <v>43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tr">
        <f>IF(Table1[[#This Row],[YearsAtCompany]]&lt;1,"0-1",IF(Table1[[#This Row],[YearsAtCompany]]&lt;=3,"1-3",IF(Table1[[#This Row],[YearsAtCompany]]&lt;=6,"4-6","7+")))</f>
        <v>1-3</v>
      </c>
      <c r="AH632">
        <f>Table1[[#This Row],[MonthlyIncome]]*12*0.75</f>
        <v>42975</v>
      </c>
      <c r="AI6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32">
        <f>IF(Table1[[#This Row],[Attrition]]="Yes",Table1[[#This Row],[EstReplacementCost]],0)</f>
        <v>0</v>
      </c>
    </row>
    <row r="633" spans="1:36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50</v>
      </c>
      <c r="P633">
        <v>4</v>
      </c>
      <c r="Q633" t="s">
        <v>48</v>
      </c>
      <c r="R633">
        <v>2818</v>
      </c>
      <c r="S633">
        <v>5044</v>
      </c>
      <c r="T633">
        <v>2</v>
      </c>
      <c r="U633" t="s">
        <v>35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tr">
        <f>IF(Table1[[#This Row],[YearsAtCompany]]&lt;1,"0-1",IF(Table1[[#This Row],[YearsAtCompany]]&lt;=3,"1-3",IF(Table1[[#This Row],[YearsAtCompany]]&lt;=6,"4-6","7+")))</f>
        <v>1-3</v>
      </c>
      <c r="AH633">
        <f>Table1[[#This Row],[MonthlyIncome]]*12*0.75</f>
        <v>25362</v>
      </c>
      <c r="AI6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33">
        <f>IF(Table1[[#This Row],[Attrition]]="Yes",Table1[[#This Row],[EstReplacementCost]],0)</f>
        <v>0</v>
      </c>
    </row>
    <row r="634" spans="1:36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47</v>
      </c>
      <c r="P634">
        <v>4</v>
      </c>
      <c r="Q634" t="s">
        <v>41</v>
      </c>
      <c r="R634">
        <v>2515</v>
      </c>
      <c r="S634">
        <v>9068</v>
      </c>
      <c r="T634">
        <v>5</v>
      </c>
      <c r="U634" t="s">
        <v>35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tr">
        <f>IF(Table1[[#This Row],[YearsAtCompany]]&lt;1,"0-1",IF(Table1[[#This Row],[YearsAtCompany]]&lt;=3,"1-3",IF(Table1[[#This Row],[YearsAtCompany]]&lt;=6,"4-6","7+")))</f>
        <v>1-3</v>
      </c>
      <c r="AH634">
        <f>Table1[[#This Row],[MonthlyIncome]]*12*0.75</f>
        <v>22635</v>
      </c>
      <c r="AI6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34">
        <f>IF(Table1[[#This Row],[Attrition]]="Yes",Table1[[#This Row],[EstReplacementCost]],0)</f>
        <v>0</v>
      </c>
    </row>
    <row r="635" spans="1:36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61</v>
      </c>
      <c r="P635">
        <v>1</v>
      </c>
      <c r="Q635" t="s">
        <v>48</v>
      </c>
      <c r="R635">
        <v>2342</v>
      </c>
      <c r="S635">
        <v>8635</v>
      </c>
      <c r="T635">
        <v>0</v>
      </c>
      <c r="U635" t="s">
        <v>43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tr">
        <f>IF(Table1[[#This Row],[YearsAtCompany]]&lt;1,"0-1",IF(Table1[[#This Row],[YearsAtCompany]]&lt;=3,"1-3",IF(Table1[[#This Row],[YearsAtCompany]]&lt;=6,"4-6","7+")))</f>
        <v>4-6</v>
      </c>
      <c r="AH635">
        <f>Table1[[#This Row],[MonthlyIncome]]*12*0.75</f>
        <v>21078</v>
      </c>
      <c r="AI6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35">
        <f>IF(Table1[[#This Row],[Attrition]]="Yes",Table1[[#This Row],[EstReplacementCost]],0)</f>
        <v>0</v>
      </c>
    </row>
    <row r="636" spans="1:36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48</v>
      </c>
      <c r="R636">
        <v>4194</v>
      </c>
      <c r="S636">
        <v>14363</v>
      </c>
      <c r="T636">
        <v>1</v>
      </c>
      <c r="U636" t="s">
        <v>35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tr">
        <f>IF(Table1[[#This Row],[YearsAtCompany]]&lt;1,"0-1",IF(Table1[[#This Row],[YearsAtCompany]]&lt;=3,"1-3",IF(Table1[[#This Row],[YearsAtCompany]]&lt;=6,"4-6","7+")))</f>
        <v>4-6</v>
      </c>
      <c r="AH636">
        <f>Table1[[#This Row],[MonthlyIncome]]*12*0.75</f>
        <v>37746</v>
      </c>
      <c r="AI6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36">
        <f>IF(Table1[[#This Row],[Attrition]]="Yes",Table1[[#This Row],[EstReplacementCost]],0)</f>
        <v>0</v>
      </c>
    </row>
    <row r="637" spans="1:36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53</v>
      </c>
      <c r="P637">
        <v>3</v>
      </c>
      <c r="Q637" t="s">
        <v>48</v>
      </c>
      <c r="R637">
        <v>10685</v>
      </c>
      <c r="S637">
        <v>23457</v>
      </c>
      <c r="T637">
        <v>1</v>
      </c>
      <c r="U637" t="s">
        <v>35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tr">
        <f>IF(Table1[[#This Row],[YearsAtCompany]]&lt;1,"0-1",IF(Table1[[#This Row],[YearsAtCompany]]&lt;=3,"1-3",IF(Table1[[#This Row],[YearsAtCompany]]&lt;=6,"4-6","7+")))</f>
        <v>7+</v>
      </c>
      <c r="AH637">
        <f>Table1[[#This Row],[MonthlyIncome]]*12*0.75</f>
        <v>96165</v>
      </c>
      <c r="AI6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37">
        <f>IF(Table1[[#This Row],[Attrition]]="Yes",Table1[[#This Row],[EstReplacementCost]],0)</f>
        <v>0</v>
      </c>
    </row>
    <row r="638" spans="1:36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47</v>
      </c>
      <c r="P638">
        <v>2</v>
      </c>
      <c r="Q638" t="s">
        <v>52</v>
      </c>
      <c r="R638">
        <v>2022</v>
      </c>
      <c r="S638">
        <v>16612</v>
      </c>
      <c r="T638">
        <v>1</v>
      </c>
      <c r="U638" t="s">
        <v>35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tr">
        <f>IF(Table1[[#This Row],[YearsAtCompany]]&lt;1,"0-1",IF(Table1[[#This Row],[YearsAtCompany]]&lt;=3,"1-3",IF(Table1[[#This Row],[YearsAtCompany]]&lt;=6,"4-6","7+")))</f>
        <v>7+</v>
      </c>
      <c r="AH638">
        <f>Table1[[#This Row],[MonthlyIncome]]*12*0.75</f>
        <v>18198</v>
      </c>
      <c r="AI6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38">
        <f>IF(Table1[[#This Row],[Attrition]]="Yes",Table1[[#This Row],[EstReplacementCost]],0)</f>
        <v>18198</v>
      </c>
    </row>
    <row r="639" spans="1:36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50</v>
      </c>
      <c r="P639">
        <v>4</v>
      </c>
      <c r="Q639" t="s">
        <v>52</v>
      </c>
      <c r="R639">
        <v>2314</v>
      </c>
      <c r="S639">
        <v>9148</v>
      </c>
      <c r="T639">
        <v>0</v>
      </c>
      <c r="U639" t="s">
        <v>43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tr">
        <f>IF(Table1[[#This Row],[YearsAtCompany]]&lt;1,"0-1",IF(Table1[[#This Row],[YearsAtCompany]]&lt;=3,"1-3",IF(Table1[[#This Row],[YearsAtCompany]]&lt;=6,"4-6","7+")))</f>
        <v>1-3</v>
      </c>
      <c r="AH639">
        <f>Table1[[#This Row],[MonthlyIncome]]*12*0.75</f>
        <v>20826</v>
      </c>
      <c r="AI6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39">
        <f>IF(Table1[[#This Row],[Attrition]]="Yes",Table1[[#This Row],[EstReplacementCost]],0)</f>
        <v>0</v>
      </c>
    </row>
    <row r="640" spans="1:36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48</v>
      </c>
      <c r="R640">
        <v>4256</v>
      </c>
      <c r="S640">
        <v>18154</v>
      </c>
      <c r="T640">
        <v>1</v>
      </c>
      <c r="U640" t="s">
        <v>43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tr">
        <f>IF(Table1[[#This Row],[YearsAtCompany]]&lt;1,"0-1",IF(Table1[[#This Row],[YearsAtCompany]]&lt;=3,"1-3",IF(Table1[[#This Row],[YearsAtCompany]]&lt;=6,"4-6","7+")))</f>
        <v>4-6</v>
      </c>
      <c r="AH640">
        <f>Table1[[#This Row],[MonthlyIncome]]*12*0.75</f>
        <v>38304</v>
      </c>
      <c r="AI6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40">
        <f>IF(Table1[[#This Row],[Attrition]]="Yes",Table1[[#This Row],[EstReplacementCost]],0)</f>
        <v>0</v>
      </c>
    </row>
    <row r="641" spans="1:36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47</v>
      </c>
      <c r="P641">
        <v>1</v>
      </c>
      <c r="Q641" t="s">
        <v>48</v>
      </c>
      <c r="R641">
        <v>3580</v>
      </c>
      <c r="S641">
        <v>10554</v>
      </c>
      <c r="T641">
        <v>2</v>
      </c>
      <c r="U641" t="s">
        <v>43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tr">
        <f>IF(Table1[[#This Row],[YearsAtCompany]]&lt;1,"0-1",IF(Table1[[#This Row],[YearsAtCompany]]&lt;=3,"1-3",IF(Table1[[#This Row],[YearsAtCompany]]&lt;=6,"4-6","7+")))</f>
        <v>4-6</v>
      </c>
      <c r="AH641">
        <f>Table1[[#This Row],[MonthlyIncome]]*12*0.75</f>
        <v>32220</v>
      </c>
      <c r="AI6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41">
        <f>IF(Table1[[#This Row],[Attrition]]="Yes",Table1[[#This Row],[EstReplacementCost]],0)</f>
        <v>0</v>
      </c>
    </row>
    <row r="642" spans="1:36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50</v>
      </c>
      <c r="P642">
        <v>4</v>
      </c>
      <c r="Q642" t="s">
        <v>48</v>
      </c>
      <c r="R642">
        <v>3162</v>
      </c>
      <c r="S642">
        <v>10778</v>
      </c>
      <c r="T642">
        <v>0</v>
      </c>
      <c r="U642" t="s">
        <v>43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tr">
        <f>IF(Table1[[#This Row],[YearsAtCompany]]&lt;1,"0-1",IF(Table1[[#This Row],[YearsAtCompany]]&lt;=3,"1-3",IF(Table1[[#This Row],[YearsAtCompany]]&lt;=6,"4-6","7+")))</f>
        <v>4-6</v>
      </c>
      <c r="AH642">
        <f>Table1[[#This Row],[MonthlyIncome]]*12*0.75</f>
        <v>28458</v>
      </c>
      <c r="AI6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42">
        <f>IF(Table1[[#This Row],[Attrition]]="Yes",Table1[[#This Row],[EstReplacementCost]],0)</f>
        <v>0</v>
      </c>
    </row>
    <row r="643" spans="1:36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48</v>
      </c>
      <c r="R643">
        <v>6524</v>
      </c>
      <c r="S643">
        <v>8891</v>
      </c>
      <c r="T643">
        <v>1</v>
      </c>
      <c r="U643" t="s">
        <v>43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tr">
        <f>IF(Table1[[#This Row],[YearsAtCompany]]&lt;1,"0-1",IF(Table1[[#This Row],[YearsAtCompany]]&lt;=3,"1-3",IF(Table1[[#This Row],[YearsAtCompany]]&lt;=6,"4-6","7+")))</f>
        <v>7+</v>
      </c>
      <c r="AH643">
        <f>Table1[[#This Row],[MonthlyIncome]]*12*0.75</f>
        <v>58716</v>
      </c>
      <c r="AI6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43">
        <f>IF(Table1[[#This Row],[Attrition]]="Yes",Table1[[#This Row],[EstReplacementCost]],0)</f>
        <v>0</v>
      </c>
    </row>
    <row r="644" spans="1:36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57</v>
      </c>
      <c r="P644">
        <v>2</v>
      </c>
      <c r="Q644" t="s">
        <v>48</v>
      </c>
      <c r="R644">
        <v>2899</v>
      </c>
      <c r="S644">
        <v>12102</v>
      </c>
      <c r="T644">
        <v>0</v>
      </c>
      <c r="U644" t="s">
        <v>43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tr">
        <f>IF(Table1[[#This Row],[YearsAtCompany]]&lt;1,"0-1",IF(Table1[[#This Row],[YearsAtCompany]]&lt;=3,"1-3",IF(Table1[[#This Row],[YearsAtCompany]]&lt;=6,"4-6","7+")))</f>
        <v>1-3</v>
      </c>
      <c r="AH644">
        <f>Table1[[#This Row],[MonthlyIncome]]*12*0.75</f>
        <v>26091</v>
      </c>
      <c r="AI6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44">
        <f>IF(Table1[[#This Row],[Attrition]]="Yes",Table1[[#This Row],[EstReplacementCost]],0)</f>
        <v>0</v>
      </c>
    </row>
    <row r="645" spans="1:36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50</v>
      </c>
      <c r="P645">
        <v>4</v>
      </c>
      <c r="Q645" t="s">
        <v>48</v>
      </c>
      <c r="R645">
        <v>5231</v>
      </c>
      <c r="S645">
        <v>23726</v>
      </c>
      <c r="T645">
        <v>2</v>
      </c>
      <c r="U645" t="s">
        <v>35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tr">
        <f>IF(Table1[[#This Row],[YearsAtCompany]]&lt;1,"0-1",IF(Table1[[#This Row],[YearsAtCompany]]&lt;=3,"1-3",IF(Table1[[#This Row],[YearsAtCompany]]&lt;=6,"4-6","7+")))</f>
        <v>4-6</v>
      </c>
      <c r="AH645">
        <f>Table1[[#This Row],[MonthlyIncome]]*12*0.75</f>
        <v>47079</v>
      </c>
      <c r="AI6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45">
        <f>IF(Table1[[#This Row],[Attrition]]="Yes",Table1[[#This Row],[EstReplacementCost]],0)</f>
        <v>0</v>
      </c>
    </row>
    <row r="646" spans="1:36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47</v>
      </c>
      <c r="P646">
        <v>4</v>
      </c>
      <c r="Q646" t="s">
        <v>48</v>
      </c>
      <c r="R646">
        <v>2356</v>
      </c>
      <c r="S646">
        <v>14871</v>
      </c>
      <c r="T646">
        <v>3</v>
      </c>
      <c r="U646" t="s">
        <v>35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tr">
        <f>IF(Table1[[#This Row],[YearsAtCompany]]&lt;1,"0-1",IF(Table1[[#This Row],[YearsAtCompany]]&lt;=3,"1-3",IF(Table1[[#This Row],[YearsAtCompany]]&lt;=6,"4-6","7+")))</f>
        <v>4-6</v>
      </c>
      <c r="AH646">
        <f>Table1[[#This Row],[MonthlyIncome]]*12*0.75</f>
        <v>21204</v>
      </c>
      <c r="AI6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46">
        <f>IF(Table1[[#This Row],[Attrition]]="Yes",Table1[[#This Row],[EstReplacementCost]],0)</f>
        <v>0</v>
      </c>
    </row>
    <row r="647" spans="1:36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57</v>
      </c>
      <c r="P647">
        <v>3</v>
      </c>
      <c r="Q647" t="s">
        <v>52</v>
      </c>
      <c r="R647">
        <v>2800</v>
      </c>
      <c r="S647">
        <v>23522</v>
      </c>
      <c r="T647">
        <v>6</v>
      </c>
      <c r="U647" t="s">
        <v>35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tr">
        <f>IF(Table1[[#This Row],[YearsAtCompany]]&lt;1,"0-1",IF(Table1[[#This Row],[YearsAtCompany]]&lt;=3,"1-3",IF(Table1[[#This Row],[YearsAtCompany]]&lt;=6,"4-6","7+")))</f>
        <v>1-3</v>
      </c>
      <c r="AH647">
        <f>Table1[[#This Row],[MonthlyIncome]]*12*0.75</f>
        <v>25200</v>
      </c>
      <c r="AI6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47">
        <f>IF(Table1[[#This Row],[Attrition]]="Yes",Table1[[#This Row],[EstReplacementCost]],0)</f>
        <v>25200</v>
      </c>
    </row>
    <row r="648" spans="1:36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48</v>
      </c>
      <c r="R648">
        <v>11836</v>
      </c>
      <c r="S648">
        <v>22789</v>
      </c>
      <c r="T648">
        <v>5</v>
      </c>
      <c r="U648" t="s">
        <v>43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tr">
        <f>IF(Table1[[#This Row],[YearsAtCompany]]&lt;1,"0-1",IF(Table1[[#This Row],[YearsAtCompany]]&lt;=3,"1-3",IF(Table1[[#This Row],[YearsAtCompany]]&lt;=6,"4-6","7+")))</f>
        <v>1-3</v>
      </c>
      <c r="AH648">
        <f>Table1[[#This Row],[MonthlyIncome]]*12*0.75</f>
        <v>106524</v>
      </c>
      <c r="AI6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48">
        <f>IF(Table1[[#This Row],[Attrition]]="Yes",Table1[[#This Row],[EstReplacementCost]],0)</f>
        <v>0</v>
      </c>
    </row>
    <row r="649" spans="1:36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53</v>
      </c>
      <c r="P649">
        <v>2</v>
      </c>
      <c r="Q649" t="s">
        <v>48</v>
      </c>
      <c r="R649">
        <v>10903</v>
      </c>
      <c r="S649">
        <v>9129</v>
      </c>
      <c r="T649">
        <v>3</v>
      </c>
      <c r="U649" t="s">
        <v>43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tr">
        <f>IF(Table1[[#This Row],[YearsAtCompany]]&lt;1,"0-1",IF(Table1[[#This Row],[YearsAtCompany]]&lt;=3,"1-3",IF(Table1[[#This Row],[YearsAtCompany]]&lt;=6,"4-6","7+")))</f>
        <v>7+</v>
      </c>
      <c r="AH649">
        <f>Table1[[#This Row],[MonthlyIncome]]*12*0.75</f>
        <v>98127</v>
      </c>
      <c r="AI6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49">
        <f>IF(Table1[[#This Row],[Attrition]]="Yes",Table1[[#This Row],[EstReplacementCost]],0)</f>
        <v>0</v>
      </c>
    </row>
    <row r="650" spans="1:36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57</v>
      </c>
      <c r="P650">
        <v>4</v>
      </c>
      <c r="Q650" t="s">
        <v>48</v>
      </c>
      <c r="R650">
        <v>2973</v>
      </c>
      <c r="S650">
        <v>21222</v>
      </c>
      <c r="T650">
        <v>5</v>
      </c>
      <c r="U650" t="s">
        <v>43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tr">
        <f>IF(Table1[[#This Row],[YearsAtCompany]]&lt;1,"0-1",IF(Table1[[#This Row],[YearsAtCompany]]&lt;=3,"1-3",IF(Table1[[#This Row],[YearsAtCompany]]&lt;=6,"4-6","7+")))</f>
        <v>4-6</v>
      </c>
      <c r="AH650">
        <f>Table1[[#This Row],[MonthlyIncome]]*12*0.75</f>
        <v>26757</v>
      </c>
      <c r="AI6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50">
        <f>IF(Table1[[#This Row],[Attrition]]="Yes",Table1[[#This Row],[EstReplacementCost]],0)</f>
        <v>0</v>
      </c>
    </row>
    <row r="651" spans="1:36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58</v>
      </c>
      <c r="P651">
        <v>4</v>
      </c>
      <c r="Q651" t="s">
        <v>41</v>
      </c>
      <c r="R651">
        <v>14275</v>
      </c>
      <c r="S651">
        <v>20206</v>
      </c>
      <c r="T651">
        <v>6</v>
      </c>
      <c r="U651" t="s">
        <v>43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tr">
        <f>IF(Table1[[#This Row],[YearsAtCompany]]&lt;1,"0-1",IF(Table1[[#This Row],[YearsAtCompany]]&lt;=3,"1-3",IF(Table1[[#This Row],[YearsAtCompany]]&lt;=6,"4-6","7+")))</f>
        <v>7+</v>
      </c>
      <c r="AH651">
        <f>Table1[[#This Row],[MonthlyIncome]]*12*0.75</f>
        <v>128475</v>
      </c>
      <c r="AI6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51">
        <f>IF(Table1[[#This Row],[Attrition]]="Yes",Table1[[#This Row],[EstReplacementCost]],0)</f>
        <v>0</v>
      </c>
    </row>
    <row r="652" spans="1:36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54</v>
      </c>
      <c r="P652">
        <v>4</v>
      </c>
      <c r="Q652" t="s">
        <v>48</v>
      </c>
      <c r="R652">
        <v>5562</v>
      </c>
      <c r="S652">
        <v>21782</v>
      </c>
      <c r="T652">
        <v>4</v>
      </c>
      <c r="U652" t="s">
        <v>43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tr">
        <f>IF(Table1[[#This Row],[YearsAtCompany]]&lt;1,"0-1",IF(Table1[[#This Row],[YearsAtCompany]]&lt;=3,"1-3",IF(Table1[[#This Row],[YearsAtCompany]]&lt;=6,"4-6","7+")))</f>
        <v>4-6</v>
      </c>
      <c r="AH652">
        <f>Table1[[#This Row],[MonthlyIncome]]*12*0.75</f>
        <v>50058</v>
      </c>
      <c r="AI6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52">
        <f>IF(Table1[[#This Row],[Attrition]]="Yes",Table1[[#This Row],[EstReplacementCost]],0)</f>
        <v>0</v>
      </c>
    </row>
    <row r="653" spans="1:36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48</v>
      </c>
      <c r="R653">
        <v>4537</v>
      </c>
      <c r="S653">
        <v>17783</v>
      </c>
      <c r="T653">
        <v>0</v>
      </c>
      <c r="U653" t="s">
        <v>35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tr">
        <f>IF(Table1[[#This Row],[YearsAtCompany]]&lt;1,"0-1",IF(Table1[[#This Row],[YearsAtCompany]]&lt;=3,"1-3",IF(Table1[[#This Row],[YearsAtCompany]]&lt;=6,"4-6","7+")))</f>
        <v>7+</v>
      </c>
      <c r="AH653">
        <f>Table1[[#This Row],[MonthlyIncome]]*12*0.75</f>
        <v>40833</v>
      </c>
      <c r="AI6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53">
        <f>IF(Table1[[#This Row],[Attrition]]="Yes",Table1[[#This Row],[EstReplacementCost]],0)</f>
        <v>0</v>
      </c>
    </row>
    <row r="654" spans="1:36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>
        <v>7642</v>
      </c>
      <c r="S654">
        <v>4814</v>
      </c>
      <c r="T654">
        <v>1</v>
      </c>
      <c r="U654" t="s">
        <v>35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tr">
        <f>IF(Table1[[#This Row],[YearsAtCompany]]&lt;1,"0-1",IF(Table1[[#This Row],[YearsAtCompany]]&lt;=3,"1-3",IF(Table1[[#This Row],[YearsAtCompany]]&lt;=6,"4-6","7+")))</f>
        <v>7+</v>
      </c>
      <c r="AH654">
        <f>Table1[[#This Row],[MonthlyIncome]]*12*0.75</f>
        <v>68778</v>
      </c>
      <c r="AI6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54">
        <f>IF(Table1[[#This Row],[Attrition]]="Yes",Table1[[#This Row],[EstReplacementCost]],0)</f>
        <v>0</v>
      </c>
    </row>
    <row r="655" spans="1:36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56</v>
      </c>
      <c r="P655">
        <v>1</v>
      </c>
      <c r="Q655" t="s">
        <v>52</v>
      </c>
      <c r="R655">
        <v>17924</v>
      </c>
      <c r="S655">
        <v>4544</v>
      </c>
      <c r="T655">
        <v>1</v>
      </c>
      <c r="U655" t="s">
        <v>43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tr">
        <f>IF(Table1[[#This Row],[YearsAtCompany]]&lt;1,"0-1",IF(Table1[[#This Row],[YearsAtCompany]]&lt;=3,"1-3",IF(Table1[[#This Row],[YearsAtCompany]]&lt;=6,"4-6","7+")))</f>
        <v>7+</v>
      </c>
      <c r="AH655">
        <f>Table1[[#This Row],[MonthlyIncome]]*12*0.75</f>
        <v>161316</v>
      </c>
      <c r="AI6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55">
        <f>IF(Table1[[#This Row],[Attrition]]="Yes",Table1[[#This Row],[EstReplacementCost]],0)</f>
        <v>0</v>
      </c>
    </row>
    <row r="656" spans="1:36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61</v>
      </c>
      <c r="P656">
        <v>4</v>
      </c>
      <c r="Q656" t="s">
        <v>48</v>
      </c>
      <c r="R656">
        <v>5204</v>
      </c>
      <c r="S656">
        <v>7790</v>
      </c>
      <c r="T656">
        <v>8</v>
      </c>
      <c r="U656" t="s">
        <v>43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tr">
        <f>IF(Table1[[#This Row],[YearsAtCompany]]&lt;1,"0-1",IF(Table1[[#This Row],[YearsAtCompany]]&lt;=3,"1-3",IF(Table1[[#This Row],[YearsAtCompany]]&lt;=6,"4-6","7+")))</f>
        <v>4-6</v>
      </c>
      <c r="AH656">
        <f>Table1[[#This Row],[MonthlyIncome]]*12*0.75</f>
        <v>46836</v>
      </c>
      <c r="AI6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56">
        <f>IF(Table1[[#This Row],[Attrition]]="Yes",Table1[[#This Row],[EstReplacementCost]],0)</f>
        <v>0</v>
      </c>
    </row>
    <row r="657" spans="1:36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61</v>
      </c>
      <c r="P657">
        <v>2</v>
      </c>
      <c r="Q657" t="s">
        <v>52</v>
      </c>
      <c r="R657">
        <v>2277</v>
      </c>
      <c r="S657">
        <v>22650</v>
      </c>
      <c r="T657">
        <v>3</v>
      </c>
      <c r="U657" t="s">
        <v>35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tr">
        <f>IF(Table1[[#This Row],[YearsAtCompany]]&lt;1,"0-1",IF(Table1[[#This Row],[YearsAtCompany]]&lt;=3,"1-3",IF(Table1[[#This Row],[YearsAtCompany]]&lt;=6,"4-6","7+")))</f>
        <v>4-6</v>
      </c>
      <c r="AH657">
        <f>Table1[[#This Row],[MonthlyIncome]]*12*0.75</f>
        <v>20493</v>
      </c>
      <c r="AI6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57">
        <f>IF(Table1[[#This Row],[Attrition]]="Yes",Table1[[#This Row],[EstReplacementCost]],0)</f>
        <v>0</v>
      </c>
    </row>
    <row r="658" spans="1:36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50</v>
      </c>
      <c r="P658">
        <v>4</v>
      </c>
      <c r="Q658" t="s">
        <v>41</v>
      </c>
      <c r="R658">
        <v>2795</v>
      </c>
      <c r="S658">
        <v>18016</v>
      </c>
      <c r="T658">
        <v>1</v>
      </c>
      <c r="U658" t="s">
        <v>35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tr">
        <f>IF(Table1[[#This Row],[YearsAtCompany]]&lt;1,"0-1",IF(Table1[[#This Row],[YearsAtCompany]]&lt;=3,"1-3",IF(Table1[[#This Row],[YearsAtCompany]]&lt;=6,"4-6","7+")))</f>
        <v>1-3</v>
      </c>
      <c r="AH658">
        <f>Table1[[#This Row],[MonthlyIncome]]*12*0.75</f>
        <v>25155</v>
      </c>
      <c r="AI6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58">
        <f>IF(Table1[[#This Row],[Attrition]]="Yes",Table1[[#This Row],[EstReplacementCost]],0)</f>
        <v>25155</v>
      </c>
    </row>
    <row r="659" spans="1:36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50</v>
      </c>
      <c r="P659">
        <v>4</v>
      </c>
      <c r="Q659" t="s">
        <v>52</v>
      </c>
      <c r="R659">
        <v>2532</v>
      </c>
      <c r="S659">
        <v>6054</v>
      </c>
      <c r="T659">
        <v>6</v>
      </c>
      <c r="U659" t="s">
        <v>43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tr">
        <f>IF(Table1[[#This Row],[YearsAtCompany]]&lt;1,"0-1",IF(Table1[[#This Row],[YearsAtCompany]]&lt;=3,"1-3",IF(Table1[[#This Row],[YearsAtCompany]]&lt;=6,"4-6","7+")))</f>
        <v>4-6</v>
      </c>
      <c r="AH659">
        <f>Table1[[#This Row],[MonthlyIncome]]*12*0.75</f>
        <v>22788</v>
      </c>
      <c r="AI6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59">
        <f>IF(Table1[[#This Row],[Attrition]]="Yes",Table1[[#This Row],[EstReplacementCost]],0)</f>
        <v>0</v>
      </c>
    </row>
    <row r="660" spans="1:36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47</v>
      </c>
      <c r="P660">
        <v>1</v>
      </c>
      <c r="Q660" t="s">
        <v>48</v>
      </c>
      <c r="R660">
        <v>2559</v>
      </c>
      <c r="S660">
        <v>7508</v>
      </c>
      <c r="T660">
        <v>1</v>
      </c>
      <c r="U660" t="s">
        <v>35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tr">
        <f>IF(Table1[[#This Row],[YearsAtCompany]]&lt;1,"0-1",IF(Table1[[#This Row],[YearsAtCompany]]&lt;=3,"1-3",IF(Table1[[#This Row],[YearsAtCompany]]&lt;=6,"4-6","7+")))</f>
        <v>7+</v>
      </c>
      <c r="AH660">
        <f>Table1[[#This Row],[MonthlyIncome]]*12*0.75</f>
        <v>23031</v>
      </c>
      <c r="AI6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60">
        <f>IF(Table1[[#This Row],[Attrition]]="Yes",Table1[[#This Row],[EstReplacementCost]],0)</f>
        <v>0</v>
      </c>
    </row>
    <row r="661" spans="1:36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>
        <v>4908</v>
      </c>
      <c r="S661">
        <v>24252</v>
      </c>
      <c r="T661">
        <v>1</v>
      </c>
      <c r="U661" t="s">
        <v>43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tr">
        <f>IF(Table1[[#This Row],[YearsAtCompany]]&lt;1,"0-1",IF(Table1[[#This Row],[YearsAtCompany]]&lt;=3,"1-3",IF(Table1[[#This Row],[YearsAtCompany]]&lt;=6,"4-6","7+")))</f>
        <v>4-6</v>
      </c>
      <c r="AH661">
        <f>Table1[[#This Row],[MonthlyIncome]]*12*0.75</f>
        <v>44172</v>
      </c>
      <c r="AI6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61">
        <f>IF(Table1[[#This Row],[Attrition]]="Yes",Table1[[#This Row],[EstReplacementCost]],0)</f>
        <v>0</v>
      </c>
    </row>
    <row r="662" spans="1:36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50</v>
      </c>
      <c r="P662">
        <v>4</v>
      </c>
      <c r="Q662" t="s">
        <v>52</v>
      </c>
      <c r="R662">
        <v>2380</v>
      </c>
      <c r="S662">
        <v>13384</v>
      </c>
      <c r="T662">
        <v>9</v>
      </c>
      <c r="U662" t="s">
        <v>35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tr">
        <f>IF(Table1[[#This Row],[YearsAtCompany]]&lt;1,"0-1",IF(Table1[[#This Row],[YearsAtCompany]]&lt;=3,"1-3",IF(Table1[[#This Row],[YearsAtCompany]]&lt;=6,"4-6","7+")))</f>
        <v>1-3</v>
      </c>
      <c r="AH662">
        <f>Table1[[#This Row],[MonthlyIncome]]*12*0.75</f>
        <v>21420</v>
      </c>
      <c r="AI6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62">
        <f>IF(Table1[[#This Row],[Attrition]]="Yes",Table1[[#This Row],[EstReplacementCost]],0)</f>
        <v>21420</v>
      </c>
    </row>
    <row r="663" spans="1:36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53</v>
      </c>
      <c r="P663">
        <v>2</v>
      </c>
      <c r="Q663" t="s">
        <v>52</v>
      </c>
      <c r="R663">
        <v>4765</v>
      </c>
      <c r="S663">
        <v>23814</v>
      </c>
      <c r="T663">
        <v>4</v>
      </c>
      <c r="U663" t="s">
        <v>43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tr">
        <f>IF(Table1[[#This Row],[YearsAtCompany]]&lt;1,"0-1",IF(Table1[[#This Row],[YearsAtCompany]]&lt;=3,"1-3",IF(Table1[[#This Row],[YearsAtCompany]]&lt;=6,"4-6","7+")))</f>
        <v>1-3</v>
      </c>
      <c r="AH663">
        <f>Table1[[#This Row],[MonthlyIncome]]*12*0.75</f>
        <v>42885</v>
      </c>
      <c r="AI6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63">
        <f>IF(Table1[[#This Row],[Attrition]]="Yes",Table1[[#This Row],[EstReplacementCost]],0)</f>
        <v>0</v>
      </c>
    </row>
    <row r="664" spans="1:36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57</v>
      </c>
      <c r="P664">
        <v>3</v>
      </c>
      <c r="Q664" t="s">
        <v>41</v>
      </c>
      <c r="R664">
        <v>2044</v>
      </c>
      <c r="S664">
        <v>22052</v>
      </c>
      <c r="T664">
        <v>1</v>
      </c>
      <c r="U664" t="s">
        <v>43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tr">
        <f>IF(Table1[[#This Row],[YearsAtCompany]]&lt;1,"0-1",IF(Table1[[#This Row],[YearsAtCompany]]&lt;=3,"1-3",IF(Table1[[#This Row],[YearsAtCompany]]&lt;=6,"4-6","7+")))</f>
        <v>1-3</v>
      </c>
      <c r="AH664">
        <f>Table1[[#This Row],[MonthlyIncome]]*12*0.75</f>
        <v>18396</v>
      </c>
      <c r="AI6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64">
        <f>IF(Table1[[#This Row],[Attrition]]="Yes",Table1[[#This Row],[EstReplacementCost]],0)</f>
        <v>18396</v>
      </c>
    </row>
    <row r="665" spans="1:36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47</v>
      </c>
      <c r="P665">
        <v>4</v>
      </c>
      <c r="Q665" t="s">
        <v>41</v>
      </c>
      <c r="R665">
        <v>2693</v>
      </c>
      <c r="S665">
        <v>8870</v>
      </c>
      <c r="T665">
        <v>1</v>
      </c>
      <c r="U665" t="s">
        <v>43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tr">
        <f>IF(Table1[[#This Row],[YearsAtCompany]]&lt;1,"0-1",IF(Table1[[#This Row],[YearsAtCompany]]&lt;=3,"1-3",IF(Table1[[#This Row],[YearsAtCompany]]&lt;=6,"4-6","7+")))</f>
        <v>1-3</v>
      </c>
      <c r="AH665">
        <f>Table1[[#This Row],[MonthlyIncome]]*12*0.75</f>
        <v>24237</v>
      </c>
      <c r="AI6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65">
        <f>IF(Table1[[#This Row],[Attrition]]="Yes",Table1[[#This Row],[EstReplacementCost]],0)</f>
        <v>24237</v>
      </c>
    </row>
    <row r="666" spans="1:36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54</v>
      </c>
      <c r="P666">
        <v>4</v>
      </c>
      <c r="Q666" t="s">
        <v>48</v>
      </c>
      <c r="R666">
        <v>6586</v>
      </c>
      <c r="S666">
        <v>4821</v>
      </c>
      <c r="T666">
        <v>0</v>
      </c>
      <c r="U666" t="s">
        <v>35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tr">
        <f>IF(Table1[[#This Row],[YearsAtCompany]]&lt;1,"0-1",IF(Table1[[#This Row],[YearsAtCompany]]&lt;=3,"1-3",IF(Table1[[#This Row],[YearsAtCompany]]&lt;=6,"4-6","7+")))</f>
        <v>7+</v>
      </c>
      <c r="AH666">
        <f>Table1[[#This Row],[MonthlyIncome]]*12*0.75</f>
        <v>59274</v>
      </c>
      <c r="AI6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66">
        <f>IF(Table1[[#This Row],[Attrition]]="Yes",Table1[[#This Row],[EstReplacementCost]],0)</f>
        <v>0</v>
      </c>
    </row>
    <row r="667" spans="1:36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57</v>
      </c>
      <c r="P667">
        <v>4</v>
      </c>
      <c r="Q667" t="s">
        <v>41</v>
      </c>
      <c r="R667">
        <v>3294</v>
      </c>
      <c r="S667">
        <v>13137</v>
      </c>
      <c r="T667">
        <v>1</v>
      </c>
      <c r="U667" t="s">
        <v>35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tr">
        <f>IF(Table1[[#This Row],[YearsAtCompany]]&lt;1,"0-1",IF(Table1[[#This Row],[YearsAtCompany]]&lt;=3,"1-3",IF(Table1[[#This Row],[YearsAtCompany]]&lt;=6,"4-6","7+")))</f>
        <v>1-3</v>
      </c>
      <c r="AH667">
        <f>Table1[[#This Row],[MonthlyIncome]]*12*0.75</f>
        <v>29646</v>
      </c>
      <c r="AI6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67">
        <f>IF(Table1[[#This Row],[Attrition]]="Yes",Table1[[#This Row],[EstReplacementCost]],0)</f>
        <v>0</v>
      </c>
    </row>
    <row r="668" spans="1:36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53</v>
      </c>
      <c r="P668">
        <v>3</v>
      </c>
      <c r="Q668" t="s">
        <v>48</v>
      </c>
      <c r="R668">
        <v>4171</v>
      </c>
      <c r="S668">
        <v>10022</v>
      </c>
      <c r="T668">
        <v>0</v>
      </c>
      <c r="U668" t="s">
        <v>35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tr">
        <f>IF(Table1[[#This Row],[YearsAtCompany]]&lt;1,"0-1",IF(Table1[[#This Row],[YearsAtCompany]]&lt;=3,"1-3",IF(Table1[[#This Row],[YearsAtCompany]]&lt;=6,"4-6","7+")))</f>
        <v>1-3</v>
      </c>
      <c r="AH668">
        <f>Table1[[#This Row],[MonthlyIncome]]*12*0.75</f>
        <v>37539</v>
      </c>
      <c r="AI6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68">
        <f>IF(Table1[[#This Row],[Attrition]]="Yes",Table1[[#This Row],[EstReplacementCost]],0)</f>
        <v>37539</v>
      </c>
    </row>
    <row r="669" spans="1:36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50</v>
      </c>
      <c r="P669">
        <v>4</v>
      </c>
      <c r="Q669" t="s">
        <v>52</v>
      </c>
      <c r="R669">
        <v>2778</v>
      </c>
      <c r="S669">
        <v>17725</v>
      </c>
      <c r="T669">
        <v>4</v>
      </c>
      <c r="U669" t="s">
        <v>35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tr">
        <f>IF(Table1[[#This Row],[YearsAtCompany]]&lt;1,"0-1",IF(Table1[[#This Row],[YearsAtCompany]]&lt;=3,"1-3",IF(Table1[[#This Row],[YearsAtCompany]]&lt;=6,"4-6","7+")))</f>
        <v>7+</v>
      </c>
      <c r="AH669">
        <f>Table1[[#This Row],[MonthlyIncome]]*12*0.75</f>
        <v>25002</v>
      </c>
      <c r="AI6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69">
        <f>IF(Table1[[#This Row],[Attrition]]="Yes",Table1[[#This Row],[EstReplacementCost]],0)</f>
        <v>25002</v>
      </c>
    </row>
    <row r="670" spans="1:36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47</v>
      </c>
      <c r="P670">
        <v>3</v>
      </c>
      <c r="Q670" t="s">
        <v>52</v>
      </c>
      <c r="R670">
        <v>2377</v>
      </c>
      <c r="S670">
        <v>9834</v>
      </c>
      <c r="T670">
        <v>5</v>
      </c>
      <c r="U670" t="s">
        <v>43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tr">
        <f>IF(Table1[[#This Row],[YearsAtCompany]]&lt;1,"0-1",IF(Table1[[#This Row],[YearsAtCompany]]&lt;=3,"1-3",IF(Table1[[#This Row],[YearsAtCompany]]&lt;=6,"4-6","7+")))</f>
        <v>1-3</v>
      </c>
      <c r="AH670">
        <f>Table1[[#This Row],[MonthlyIncome]]*12*0.75</f>
        <v>21393</v>
      </c>
      <c r="AI6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70">
        <f>IF(Table1[[#This Row],[Attrition]]="Yes",Table1[[#This Row],[EstReplacementCost]],0)</f>
        <v>0</v>
      </c>
    </row>
    <row r="671" spans="1:36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50</v>
      </c>
      <c r="P671">
        <v>1</v>
      </c>
      <c r="Q671" t="s">
        <v>48</v>
      </c>
      <c r="R671">
        <v>2404</v>
      </c>
      <c r="S671">
        <v>4303</v>
      </c>
      <c r="T671">
        <v>7</v>
      </c>
      <c r="U671" t="s">
        <v>35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tr">
        <f>IF(Table1[[#This Row],[YearsAtCompany]]&lt;1,"0-1",IF(Table1[[#This Row],[YearsAtCompany]]&lt;=3,"1-3",IF(Table1[[#This Row],[YearsAtCompany]]&lt;=6,"4-6","7+")))</f>
        <v>1-3</v>
      </c>
      <c r="AH671">
        <f>Table1[[#This Row],[MonthlyIncome]]*12*0.75</f>
        <v>21636</v>
      </c>
      <c r="AI6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671">
        <f>IF(Table1[[#This Row],[Attrition]]="Yes",Table1[[#This Row],[EstReplacementCost]],0)</f>
        <v>21636</v>
      </c>
    </row>
    <row r="672" spans="1:36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47</v>
      </c>
      <c r="P672">
        <v>3</v>
      </c>
      <c r="Q672" t="s">
        <v>41</v>
      </c>
      <c r="R672">
        <v>2318</v>
      </c>
      <c r="S672">
        <v>17808</v>
      </c>
      <c r="T672">
        <v>1</v>
      </c>
      <c r="U672" t="s">
        <v>43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tr">
        <f>IF(Table1[[#This Row],[YearsAtCompany]]&lt;1,"0-1",IF(Table1[[#This Row],[YearsAtCompany]]&lt;=3,"1-3",IF(Table1[[#This Row],[YearsAtCompany]]&lt;=6,"4-6","7+")))</f>
        <v>1-3</v>
      </c>
      <c r="AH672">
        <f>Table1[[#This Row],[MonthlyIncome]]*12*0.75</f>
        <v>20862</v>
      </c>
      <c r="AI6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72">
        <f>IF(Table1[[#This Row],[Attrition]]="Yes",Table1[[#This Row],[EstReplacementCost]],0)</f>
        <v>0</v>
      </c>
    </row>
    <row r="673" spans="1:36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50</v>
      </c>
      <c r="P673">
        <v>2</v>
      </c>
      <c r="Q673" t="s">
        <v>52</v>
      </c>
      <c r="R673">
        <v>2008</v>
      </c>
      <c r="S673">
        <v>6896</v>
      </c>
      <c r="T673">
        <v>1</v>
      </c>
      <c r="U673" t="s">
        <v>43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tr">
        <f>IF(Table1[[#This Row],[YearsAtCompany]]&lt;1,"0-1",IF(Table1[[#This Row],[YearsAtCompany]]&lt;=3,"1-3",IF(Table1[[#This Row],[YearsAtCompany]]&lt;=6,"4-6","7+")))</f>
        <v>1-3</v>
      </c>
      <c r="AH673">
        <f>Table1[[#This Row],[MonthlyIncome]]*12*0.75</f>
        <v>18072</v>
      </c>
      <c r="AI6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73">
        <f>IF(Table1[[#This Row],[Attrition]]="Yes",Table1[[#This Row],[EstReplacementCost]],0)</f>
        <v>0</v>
      </c>
    </row>
    <row r="674" spans="1:36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>
        <v>6244</v>
      </c>
      <c r="S674">
        <v>7824</v>
      </c>
      <c r="T674">
        <v>7</v>
      </c>
      <c r="U674" t="s">
        <v>43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tr">
        <f>IF(Table1[[#This Row],[YearsAtCompany]]&lt;1,"0-1",IF(Table1[[#This Row],[YearsAtCompany]]&lt;=3,"1-3",IF(Table1[[#This Row],[YearsAtCompany]]&lt;=6,"4-6","7+")))</f>
        <v>4-6</v>
      </c>
      <c r="AH674">
        <f>Table1[[#This Row],[MonthlyIncome]]*12*0.75</f>
        <v>56196</v>
      </c>
      <c r="AI6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74">
        <f>IF(Table1[[#This Row],[Attrition]]="Yes",Table1[[#This Row],[EstReplacementCost]],0)</f>
        <v>0</v>
      </c>
    </row>
    <row r="675" spans="1:36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47</v>
      </c>
      <c r="P675">
        <v>1</v>
      </c>
      <c r="Q675" t="s">
        <v>41</v>
      </c>
      <c r="R675">
        <v>2799</v>
      </c>
      <c r="S675">
        <v>3339</v>
      </c>
      <c r="T675">
        <v>3</v>
      </c>
      <c r="U675" t="s">
        <v>35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tr">
        <f>IF(Table1[[#This Row],[YearsAtCompany]]&lt;1,"0-1",IF(Table1[[#This Row],[YearsAtCompany]]&lt;=3,"1-3",IF(Table1[[#This Row],[YearsAtCompany]]&lt;=6,"4-6","7+")))</f>
        <v>1-3</v>
      </c>
      <c r="AH675">
        <f>Table1[[#This Row],[MonthlyIncome]]*12*0.75</f>
        <v>25191</v>
      </c>
      <c r="AI6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675">
        <f>IF(Table1[[#This Row],[Attrition]]="Yes",Table1[[#This Row],[EstReplacementCost]],0)</f>
        <v>0</v>
      </c>
    </row>
    <row r="676" spans="1:36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54</v>
      </c>
      <c r="P676">
        <v>2</v>
      </c>
      <c r="Q676" t="s">
        <v>52</v>
      </c>
      <c r="R676">
        <v>10552</v>
      </c>
      <c r="S676">
        <v>9255</v>
      </c>
      <c r="T676">
        <v>2</v>
      </c>
      <c r="U676" t="s">
        <v>35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tr">
        <f>IF(Table1[[#This Row],[YearsAtCompany]]&lt;1,"0-1",IF(Table1[[#This Row],[YearsAtCompany]]&lt;=3,"1-3",IF(Table1[[#This Row],[YearsAtCompany]]&lt;=6,"4-6","7+")))</f>
        <v>4-6</v>
      </c>
      <c r="AH676">
        <f>Table1[[#This Row],[MonthlyIncome]]*12*0.75</f>
        <v>94968</v>
      </c>
      <c r="AI6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76">
        <f>IF(Table1[[#This Row],[Attrition]]="Yes",Table1[[#This Row],[EstReplacementCost]],0)</f>
        <v>0</v>
      </c>
    </row>
    <row r="677" spans="1:36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57</v>
      </c>
      <c r="P677">
        <v>3</v>
      </c>
      <c r="Q677" t="s">
        <v>48</v>
      </c>
      <c r="R677">
        <v>2329</v>
      </c>
      <c r="S677">
        <v>11737</v>
      </c>
      <c r="T677">
        <v>3</v>
      </c>
      <c r="U677" t="s">
        <v>43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tr">
        <f>IF(Table1[[#This Row],[YearsAtCompany]]&lt;1,"0-1",IF(Table1[[#This Row],[YearsAtCompany]]&lt;=3,"1-3",IF(Table1[[#This Row],[YearsAtCompany]]&lt;=6,"4-6","7+")))</f>
        <v>7+</v>
      </c>
      <c r="AH677">
        <f>Table1[[#This Row],[MonthlyIncome]]*12*0.75</f>
        <v>20961</v>
      </c>
      <c r="AI6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77">
        <f>IF(Table1[[#This Row],[Attrition]]="Yes",Table1[[#This Row],[EstReplacementCost]],0)</f>
        <v>0</v>
      </c>
    </row>
    <row r="678" spans="1:36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54</v>
      </c>
      <c r="P678">
        <v>4</v>
      </c>
      <c r="Q678" t="s">
        <v>48</v>
      </c>
      <c r="R678">
        <v>4014</v>
      </c>
      <c r="S678">
        <v>19170</v>
      </c>
      <c r="T678">
        <v>1</v>
      </c>
      <c r="U678" t="s">
        <v>35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tr">
        <f>IF(Table1[[#This Row],[YearsAtCompany]]&lt;1,"0-1",IF(Table1[[#This Row],[YearsAtCompany]]&lt;=3,"1-3",IF(Table1[[#This Row],[YearsAtCompany]]&lt;=6,"4-6","7+")))</f>
        <v>7+</v>
      </c>
      <c r="AH678">
        <f>Table1[[#This Row],[MonthlyIncome]]*12*0.75</f>
        <v>36126</v>
      </c>
      <c r="AI6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78">
        <f>IF(Table1[[#This Row],[Attrition]]="Yes",Table1[[#This Row],[EstReplacementCost]],0)</f>
        <v>0</v>
      </c>
    </row>
    <row r="679" spans="1:36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50</v>
      </c>
      <c r="P679">
        <v>2</v>
      </c>
      <c r="Q679" t="s">
        <v>48</v>
      </c>
      <c r="R679">
        <v>7403</v>
      </c>
      <c r="S679">
        <v>22477</v>
      </c>
      <c r="T679">
        <v>4</v>
      </c>
      <c r="U679" t="s">
        <v>43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tr">
        <f>IF(Table1[[#This Row],[YearsAtCompany]]&lt;1,"0-1",IF(Table1[[#This Row],[YearsAtCompany]]&lt;=3,"1-3",IF(Table1[[#This Row],[YearsAtCompany]]&lt;=6,"4-6","7+")))</f>
        <v>7+</v>
      </c>
      <c r="AH679">
        <f>Table1[[#This Row],[MonthlyIncome]]*12*0.75</f>
        <v>66627</v>
      </c>
      <c r="AI6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79">
        <f>IF(Table1[[#This Row],[Attrition]]="Yes",Table1[[#This Row],[EstReplacementCost]],0)</f>
        <v>0</v>
      </c>
    </row>
    <row r="680" spans="1:36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47</v>
      </c>
      <c r="P680">
        <v>3</v>
      </c>
      <c r="Q680" t="s">
        <v>48</v>
      </c>
      <c r="R680">
        <v>2259</v>
      </c>
      <c r="S680">
        <v>5543</v>
      </c>
      <c r="T680">
        <v>4</v>
      </c>
      <c r="U680" t="s">
        <v>43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tr">
        <f>IF(Table1[[#This Row],[YearsAtCompany]]&lt;1,"0-1",IF(Table1[[#This Row],[YearsAtCompany]]&lt;=3,"1-3",IF(Table1[[#This Row],[YearsAtCompany]]&lt;=6,"4-6","7+")))</f>
        <v>0-1</v>
      </c>
      <c r="AH680">
        <f>Table1[[#This Row],[MonthlyIncome]]*12*0.75</f>
        <v>20331</v>
      </c>
      <c r="AI6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80">
        <f>IF(Table1[[#This Row],[Attrition]]="Yes",Table1[[#This Row],[EstReplacementCost]],0)</f>
        <v>0</v>
      </c>
    </row>
    <row r="681" spans="1:36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48</v>
      </c>
      <c r="R681">
        <v>6932</v>
      </c>
      <c r="S681">
        <v>24406</v>
      </c>
      <c r="T681">
        <v>1</v>
      </c>
      <c r="U681" t="s">
        <v>43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tr">
        <f>IF(Table1[[#This Row],[YearsAtCompany]]&lt;1,"0-1",IF(Table1[[#This Row],[YearsAtCompany]]&lt;=3,"1-3",IF(Table1[[#This Row],[YearsAtCompany]]&lt;=6,"4-6","7+")))</f>
        <v>7+</v>
      </c>
      <c r="AH681">
        <f>Table1[[#This Row],[MonthlyIncome]]*12*0.75</f>
        <v>62388</v>
      </c>
      <c r="AI6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81">
        <f>IF(Table1[[#This Row],[Attrition]]="Yes",Table1[[#This Row],[EstReplacementCost]],0)</f>
        <v>0</v>
      </c>
    </row>
    <row r="682" spans="1:36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47</v>
      </c>
      <c r="P682">
        <v>4</v>
      </c>
      <c r="Q682" t="s">
        <v>41</v>
      </c>
      <c r="R682">
        <v>4678</v>
      </c>
      <c r="S682">
        <v>23293</v>
      </c>
      <c r="T682">
        <v>2</v>
      </c>
      <c r="U682" t="s">
        <v>43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tr">
        <f>IF(Table1[[#This Row],[YearsAtCompany]]&lt;1,"0-1",IF(Table1[[#This Row],[YearsAtCompany]]&lt;=3,"1-3",IF(Table1[[#This Row],[YearsAtCompany]]&lt;=6,"4-6","7+")))</f>
        <v>4-6</v>
      </c>
      <c r="AH682">
        <f>Table1[[#This Row],[MonthlyIncome]]*12*0.75</f>
        <v>42102</v>
      </c>
      <c r="AI6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82">
        <f>IF(Table1[[#This Row],[Attrition]]="Yes",Table1[[#This Row],[EstReplacementCost]],0)</f>
        <v>0</v>
      </c>
    </row>
    <row r="683" spans="1:36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58</v>
      </c>
      <c r="P683">
        <v>1</v>
      </c>
      <c r="Q683" t="s">
        <v>48</v>
      </c>
      <c r="R683">
        <v>13582</v>
      </c>
      <c r="S683">
        <v>16292</v>
      </c>
      <c r="T683">
        <v>1</v>
      </c>
      <c r="U683" t="s">
        <v>43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tr">
        <f>IF(Table1[[#This Row],[YearsAtCompany]]&lt;1,"0-1",IF(Table1[[#This Row],[YearsAtCompany]]&lt;=3,"1-3",IF(Table1[[#This Row],[YearsAtCompany]]&lt;=6,"4-6","7+")))</f>
        <v>7+</v>
      </c>
      <c r="AH683">
        <f>Table1[[#This Row],[MonthlyIncome]]*12*0.75</f>
        <v>122238</v>
      </c>
      <c r="AI6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83">
        <f>IF(Table1[[#This Row],[Attrition]]="Yes",Table1[[#This Row],[EstReplacementCost]],0)</f>
        <v>0</v>
      </c>
    </row>
    <row r="684" spans="1:36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50</v>
      </c>
      <c r="P684">
        <v>2</v>
      </c>
      <c r="Q684" t="s">
        <v>48</v>
      </c>
      <c r="R684">
        <v>2332</v>
      </c>
      <c r="S684">
        <v>3974</v>
      </c>
      <c r="T684">
        <v>6</v>
      </c>
      <c r="U684" t="s">
        <v>43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tr">
        <f>IF(Table1[[#This Row],[YearsAtCompany]]&lt;1,"0-1",IF(Table1[[#This Row],[YearsAtCompany]]&lt;=3,"1-3",IF(Table1[[#This Row],[YearsAtCompany]]&lt;=6,"4-6","7+")))</f>
        <v>1-3</v>
      </c>
      <c r="AH684">
        <f>Table1[[#This Row],[MonthlyIncome]]*12*0.75</f>
        <v>20988</v>
      </c>
      <c r="AI6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84">
        <f>IF(Table1[[#This Row],[Attrition]]="Yes",Table1[[#This Row],[EstReplacementCost]],0)</f>
        <v>0</v>
      </c>
    </row>
    <row r="685" spans="1:36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57</v>
      </c>
      <c r="P685">
        <v>2</v>
      </c>
      <c r="Q685" t="s">
        <v>48</v>
      </c>
      <c r="R685">
        <v>2413</v>
      </c>
      <c r="S685">
        <v>18798</v>
      </c>
      <c r="T685">
        <v>1</v>
      </c>
      <c r="U685" t="s">
        <v>35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tr">
        <f>IF(Table1[[#This Row],[YearsAtCompany]]&lt;1,"0-1",IF(Table1[[#This Row],[YearsAtCompany]]&lt;=3,"1-3",IF(Table1[[#This Row],[YearsAtCompany]]&lt;=6,"4-6","7+")))</f>
        <v>1-3</v>
      </c>
      <c r="AH685">
        <f>Table1[[#This Row],[MonthlyIncome]]*12*0.75</f>
        <v>21717</v>
      </c>
      <c r="AI6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685">
        <f>IF(Table1[[#This Row],[Attrition]]="Yes",Table1[[#This Row],[EstReplacementCost]],0)</f>
        <v>21717</v>
      </c>
    </row>
    <row r="686" spans="1:36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52</v>
      </c>
      <c r="R686">
        <v>9705</v>
      </c>
      <c r="S686">
        <v>20652</v>
      </c>
      <c r="T686">
        <v>2</v>
      </c>
      <c r="U686" t="s">
        <v>43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tr">
        <f>IF(Table1[[#This Row],[YearsAtCompany]]&lt;1,"0-1",IF(Table1[[#This Row],[YearsAtCompany]]&lt;=3,"1-3",IF(Table1[[#This Row],[YearsAtCompany]]&lt;=6,"4-6","7+")))</f>
        <v>1-3</v>
      </c>
      <c r="AH686">
        <f>Table1[[#This Row],[MonthlyIncome]]*12*0.75</f>
        <v>87345</v>
      </c>
      <c r="AI6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86">
        <f>IF(Table1[[#This Row],[Attrition]]="Yes",Table1[[#This Row],[EstReplacementCost]],0)</f>
        <v>0</v>
      </c>
    </row>
    <row r="687" spans="1:36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>
        <v>4294</v>
      </c>
      <c r="S687">
        <v>11148</v>
      </c>
      <c r="T687">
        <v>1</v>
      </c>
      <c r="U687" t="s">
        <v>43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tr">
        <f>IF(Table1[[#This Row],[YearsAtCompany]]&lt;1,"0-1",IF(Table1[[#This Row],[YearsAtCompany]]&lt;=3,"1-3",IF(Table1[[#This Row],[YearsAtCompany]]&lt;=6,"4-6","7+")))</f>
        <v>7+</v>
      </c>
      <c r="AH687">
        <f>Table1[[#This Row],[MonthlyIncome]]*12*0.75</f>
        <v>38646</v>
      </c>
      <c r="AI6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87">
        <f>IF(Table1[[#This Row],[Attrition]]="Yes",Table1[[#This Row],[EstReplacementCost]],0)</f>
        <v>0</v>
      </c>
    </row>
    <row r="688" spans="1:36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50</v>
      </c>
      <c r="P688">
        <v>1</v>
      </c>
      <c r="Q688" t="s">
        <v>41</v>
      </c>
      <c r="R688">
        <v>4721</v>
      </c>
      <c r="S688">
        <v>3119</v>
      </c>
      <c r="T688">
        <v>2</v>
      </c>
      <c r="U688" t="s">
        <v>35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tr">
        <f>IF(Table1[[#This Row],[YearsAtCompany]]&lt;1,"0-1",IF(Table1[[#This Row],[YearsAtCompany]]&lt;=3,"1-3",IF(Table1[[#This Row],[YearsAtCompany]]&lt;=6,"4-6","7+")))</f>
        <v>7+</v>
      </c>
      <c r="AH688">
        <f>Table1[[#This Row],[MonthlyIncome]]*12*0.75</f>
        <v>42489</v>
      </c>
      <c r="AI6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88">
        <f>IF(Table1[[#This Row],[Attrition]]="Yes",Table1[[#This Row],[EstReplacementCost]],0)</f>
        <v>0</v>
      </c>
    </row>
    <row r="689" spans="1:36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50</v>
      </c>
      <c r="P689">
        <v>3</v>
      </c>
      <c r="Q689" t="s">
        <v>41</v>
      </c>
      <c r="R689">
        <v>2519</v>
      </c>
      <c r="S689">
        <v>12287</v>
      </c>
      <c r="T689">
        <v>4</v>
      </c>
      <c r="U689" t="s">
        <v>43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tr">
        <f>IF(Table1[[#This Row],[YearsAtCompany]]&lt;1,"0-1",IF(Table1[[#This Row],[YearsAtCompany]]&lt;=3,"1-3",IF(Table1[[#This Row],[YearsAtCompany]]&lt;=6,"4-6","7+")))</f>
        <v>7+</v>
      </c>
      <c r="AH689">
        <f>Table1[[#This Row],[MonthlyIncome]]*12*0.75</f>
        <v>22671</v>
      </c>
      <c r="AI6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89">
        <f>IF(Table1[[#This Row],[Attrition]]="Yes",Table1[[#This Row],[EstReplacementCost]],0)</f>
        <v>0</v>
      </c>
    </row>
    <row r="690" spans="1:36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57</v>
      </c>
      <c r="P690">
        <v>2</v>
      </c>
      <c r="Q690" t="s">
        <v>41</v>
      </c>
      <c r="R690">
        <v>2121</v>
      </c>
      <c r="S690">
        <v>9947</v>
      </c>
      <c r="T690">
        <v>1</v>
      </c>
      <c r="U690" t="s">
        <v>35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tr">
        <f>IF(Table1[[#This Row],[YearsAtCompany]]&lt;1,"0-1",IF(Table1[[#This Row],[YearsAtCompany]]&lt;=3,"1-3",IF(Table1[[#This Row],[YearsAtCompany]]&lt;=6,"4-6","7+")))</f>
        <v>1-3</v>
      </c>
      <c r="AH690">
        <f>Table1[[#This Row],[MonthlyIncome]]*12*0.75</f>
        <v>19089</v>
      </c>
      <c r="AI6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690">
        <f>IF(Table1[[#This Row],[Attrition]]="Yes",Table1[[#This Row],[EstReplacementCost]],0)</f>
        <v>19089</v>
      </c>
    </row>
    <row r="691" spans="1:36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50</v>
      </c>
      <c r="P691">
        <v>1</v>
      </c>
      <c r="Q691" t="s">
        <v>41</v>
      </c>
      <c r="R691">
        <v>2973</v>
      </c>
      <c r="S691">
        <v>13008</v>
      </c>
      <c r="T691">
        <v>1</v>
      </c>
      <c r="U691" t="s">
        <v>43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tr">
        <f>IF(Table1[[#This Row],[YearsAtCompany]]&lt;1,"0-1",IF(Table1[[#This Row],[YearsAtCompany]]&lt;=3,"1-3",IF(Table1[[#This Row],[YearsAtCompany]]&lt;=6,"4-6","7+")))</f>
        <v>1-3</v>
      </c>
      <c r="AH691">
        <f>Table1[[#This Row],[MonthlyIncome]]*12*0.75</f>
        <v>26757</v>
      </c>
      <c r="AI6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91">
        <f>IF(Table1[[#This Row],[Attrition]]="Yes",Table1[[#This Row],[EstReplacementCost]],0)</f>
        <v>26757</v>
      </c>
    </row>
    <row r="692" spans="1:36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54</v>
      </c>
      <c r="P692">
        <v>4</v>
      </c>
      <c r="Q692" t="s">
        <v>48</v>
      </c>
      <c r="R692">
        <v>5855</v>
      </c>
      <c r="S692">
        <v>17369</v>
      </c>
      <c r="T692">
        <v>0</v>
      </c>
      <c r="U692" t="s">
        <v>35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tr">
        <f>IF(Table1[[#This Row],[YearsAtCompany]]&lt;1,"0-1",IF(Table1[[#This Row],[YearsAtCompany]]&lt;=3,"1-3",IF(Table1[[#This Row],[YearsAtCompany]]&lt;=6,"4-6","7+")))</f>
        <v>7+</v>
      </c>
      <c r="AH692">
        <f>Table1[[#This Row],[MonthlyIncome]]*12*0.75</f>
        <v>52695</v>
      </c>
      <c r="AI6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92">
        <f>IF(Table1[[#This Row],[Attrition]]="Yes",Table1[[#This Row],[EstReplacementCost]],0)</f>
        <v>0</v>
      </c>
    </row>
    <row r="693" spans="1:36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47</v>
      </c>
      <c r="P693">
        <v>2</v>
      </c>
      <c r="Q693" t="s">
        <v>52</v>
      </c>
      <c r="R693">
        <v>3617</v>
      </c>
      <c r="S693">
        <v>25063</v>
      </c>
      <c r="T693">
        <v>8</v>
      </c>
      <c r="U693" t="s">
        <v>35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tr">
        <f>IF(Table1[[#This Row],[YearsAtCompany]]&lt;1,"0-1",IF(Table1[[#This Row],[YearsAtCompany]]&lt;=3,"1-3",IF(Table1[[#This Row],[YearsAtCompany]]&lt;=6,"4-6","7+")))</f>
        <v>1-3</v>
      </c>
      <c r="AH693">
        <f>Table1[[#This Row],[MonthlyIncome]]*12*0.75</f>
        <v>32553</v>
      </c>
      <c r="AI6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693">
        <f>IF(Table1[[#This Row],[Attrition]]="Yes",Table1[[#This Row],[EstReplacementCost]],0)</f>
        <v>0</v>
      </c>
    </row>
    <row r="694" spans="1:36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53</v>
      </c>
      <c r="P694">
        <v>1</v>
      </c>
      <c r="Q694" t="s">
        <v>48</v>
      </c>
      <c r="R694">
        <v>6725</v>
      </c>
      <c r="S694">
        <v>13554</v>
      </c>
      <c r="T694">
        <v>1</v>
      </c>
      <c r="U694" t="s">
        <v>43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tr">
        <f>IF(Table1[[#This Row],[YearsAtCompany]]&lt;1,"0-1",IF(Table1[[#This Row],[YearsAtCompany]]&lt;=3,"1-3",IF(Table1[[#This Row],[YearsAtCompany]]&lt;=6,"4-6","7+")))</f>
        <v>7+</v>
      </c>
      <c r="AH694">
        <f>Table1[[#This Row],[MonthlyIncome]]*12*0.75</f>
        <v>60525</v>
      </c>
      <c r="AI6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94">
        <f>IF(Table1[[#This Row],[Attrition]]="Yes",Table1[[#This Row],[EstReplacementCost]],0)</f>
        <v>0</v>
      </c>
    </row>
    <row r="695" spans="1:36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48</v>
      </c>
      <c r="R695">
        <v>10325</v>
      </c>
      <c r="S695">
        <v>5518</v>
      </c>
      <c r="T695">
        <v>1</v>
      </c>
      <c r="U695" t="s">
        <v>35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tr">
        <f>IF(Table1[[#This Row],[YearsAtCompany]]&lt;1,"0-1",IF(Table1[[#This Row],[YearsAtCompany]]&lt;=3,"1-3",IF(Table1[[#This Row],[YearsAtCompany]]&lt;=6,"4-6","7+")))</f>
        <v>7+</v>
      </c>
      <c r="AH695">
        <f>Table1[[#This Row],[MonthlyIncome]]*12*0.75</f>
        <v>92925</v>
      </c>
      <c r="AI6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95">
        <f>IF(Table1[[#This Row],[Attrition]]="Yes",Table1[[#This Row],[EstReplacementCost]],0)</f>
        <v>92925</v>
      </c>
    </row>
    <row r="696" spans="1:36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54</v>
      </c>
      <c r="P696">
        <v>4</v>
      </c>
      <c r="Q696" t="s">
        <v>41</v>
      </c>
      <c r="R696">
        <v>6949</v>
      </c>
      <c r="S696">
        <v>12291</v>
      </c>
      <c r="T696">
        <v>0</v>
      </c>
      <c r="U696" t="s">
        <v>43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tr">
        <f>IF(Table1[[#This Row],[YearsAtCompany]]&lt;1,"0-1",IF(Table1[[#This Row],[YearsAtCompany]]&lt;=3,"1-3",IF(Table1[[#This Row],[YearsAtCompany]]&lt;=6,"4-6","7+")))</f>
        <v>4-6</v>
      </c>
      <c r="AH696">
        <f>Table1[[#This Row],[MonthlyIncome]]*12*0.75</f>
        <v>62541</v>
      </c>
      <c r="AI6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96">
        <f>IF(Table1[[#This Row],[Attrition]]="Yes",Table1[[#This Row],[EstReplacementCost]],0)</f>
        <v>0</v>
      </c>
    </row>
    <row r="697" spans="1:36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48</v>
      </c>
      <c r="R697">
        <v>10609</v>
      </c>
      <c r="S697">
        <v>14922</v>
      </c>
      <c r="T697">
        <v>5</v>
      </c>
      <c r="U697" t="s">
        <v>43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tr">
        <f>IF(Table1[[#This Row],[YearsAtCompany]]&lt;1,"0-1",IF(Table1[[#This Row],[YearsAtCompany]]&lt;=3,"1-3",IF(Table1[[#This Row],[YearsAtCompany]]&lt;=6,"4-6","7+")))</f>
        <v>7+</v>
      </c>
      <c r="AH697">
        <f>Table1[[#This Row],[MonthlyIncome]]*12*0.75</f>
        <v>95481</v>
      </c>
      <c r="AI6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97">
        <f>IF(Table1[[#This Row],[Attrition]]="Yes",Table1[[#This Row],[EstReplacementCost]],0)</f>
        <v>95481</v>
      </c>
    </row>
    <row r="698" spans="1:36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50</v>
      </c>
      <c r="P698">
        <v>2</v>
      </c>
      <c r="Q698" t="s">
        <v>48</v>
      </c>
      <c r="R698">
        <v>4447</v>
      </c>
      <c r="S698">
        <v>23163</v>
      </c>
      <c r="T698">
        <v>1</v>
      </c>
      <c r="U698" t="s">
        <v>43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tr">
        <f>IF(Table1[[#This Row],[YearsAtCompany]]&lt;1,"0-1",IF(Table1[[#This Row],[YearsAtCompany]]&lt;=3,"1-3",IF(Table1[[#This Row],[YearsAtCompany]]&lt;=6,"4-6","7+")))</f>
        <v>7+</v>
      </c>
      <c r="AH698">
        <f>Table1[[#This Row],[MonthlyIncome]]*12*0.75</f>
        <v>40023</v>
      </c>
      <c r="AI6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698">
        <f>IF(Table1[[#This Row],[Attrition]]="Yes",Table1[[#This Row],[EstReplacementCost]],0)</f>
        <v>0</v>
      </c>
    </row>
    <row r="699" spans="1:36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57</v>
      </c>
      <c r="P699">
        <v>4</v>
      </c>
      <c r="Q699" t="s">
        <v>48</v>
      </c>
      <c r="R699">
        <v>2157</v>
      </c>
      <c r="S699">
        <v>18203</v>
      </c>
      <c r="T699">
        <v>1</v>
      </c>
      <c r="U699" t="s">
        <v>43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tr">
        <f>IF(Table1[[#This Row],[YearsAtCompany]]&lt;1,"0-1",IF(Table1[[#This Row],[YearsAtCompany]]&lt;=3,"1-3",IF(Table1[[#This Row],[YearsAtCompany]]&lt;=6,"4-6","7+")))</f>
        <v>1-3</v>
      </c>
      <c r="AH699">
        <f>Table1[[#This Row],[MonthlyIncome]]*12*0.75</f>
        <v>19413</v>
      </c>
      <c r="AI6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699">
        <f>IF(Table1[[#This Row],[Attrition]]="Yes",Table1[[#This Row],[EstReplacementCost]],0)</f>
        <v>0</v>
      </c>
    </row>
    <row r="700" spans="1:36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48</v>
      </c>
      <c r="R700">
        <v>4601</v>
      </c>
      <c r="S700">
        <v>6179</v>
      </c>
      <c r="T700">
        <v>1</v>
      </c>
      <c r="U700" t="s">
        <v>43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tr">
        <f>IF(Table1[[#This Row],[YearsAtCompany]]&lt;1,"0-1",IF(Table1[[#This Row],[YearsAtCompany]]&lt;=3,"1-3",IF(Table1[[#This Row],[YearsAtCompany]]&lt;=6,"4-6","7+")))</f>
        <v>4-6</v>
      </c>
      <c r="AH700">
        <f>Table1[[#This Row],[MonthlyIncome]]*12*0.75</f>
        <v>41409</v>
      </c>
      <c r="AI7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00">
        <f>IF(Table1[[#This Row],[Attrition]]="Yes",Table1[[#This Row],[EstReplacementCost]],0)</f>
        <v>0</v>
      </c>
    </row>
    <row r="701" spans="1:36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56</v>
      </c>
      <c r="P701">
        <v>4</v>
      </c>
      <c r="Q701" t="s">
        <v>48</v>
      </c>
      <c r="R701">
        <v>17099</v>
      </c>
      <c r="S701">
        <v>13829</v>
      </c>
      <c r="T701">
        <v>2</v>
      </c>
      <c r="U701" t="s">
        <v>43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tr">
        <f>IF(Table1[[#This Row],[YearsAtCompany]]&lt;1,"0-1",IF(Table1[[#This Row],[YearsAtCompany]]&lt;=3,"1-3",IF(Table1[[#This Row],[YearsAtCompany]]&lt;=6,"4-6","7+")))</f>
        <v>7+</v>
      </c>
      <c r="AH701">
        <f>Table1[[#This Row],[MonthlyIncome]]*12*0.75</f>
        <v>153891</v>
      </c>
      <c r="AI7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01">
        <f>IF(Table1[[#This Row],[Attrition]]="Yes",Table1[[#This Row],[EstReplacementCost]],0)</f>
        <v>0</v>
      </c>
    </row>
    <row r="702" spans="1:36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47</v>
      </c>
      <c r="P702">
        <v>3</v>
      </c>
      <c r="Q702" t="s">
        <v>41</v>
      </c>
      <c r="R702">
        <v>2479</v>
      </c>
      <c r="S702">
        <v>26227</v>
      </c>
      <c r="T702">
        <v>4</v>
      </c>
      <c r="U702" t="s">
        <v>43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tr">
        <f>IF(Table1[[#This Row],[YearsAtCompany]]&lt;1,"0-1",IF(Table1[[#This Row],[YearsAtCompany]]&lt;=3,"1-3",IF(Table1[[#This Row],[YearsAtCompany]]&lt;=6,"4-6","7+")))</f>
        <v>1-3</v>
      </c>
      <c r="AH702">
        <f>Table1[[#This Row],[MonthlyIncome]]*12*0.75</f>
        <v>22311</v>
      </c>
      <c r="AI7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02">
        <f>IF(Table1[[#This Row],[Attrition]]="Yes",Table1[[#This Row],[EstReplacementCost]],0)</f>
        <v>22311</v>
      </c>
    </row>
    <row r="703" spans="1:36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56</v>
      </c>
      <c r="P703">
        <v>3</v>
      </c>
      <c r="Q703" t="s">
        <v>52</v>
      </c>
      <c r="R703">
        <v>14852</v>
      </c>
      <c r="S703">
        <v>13938</v>
      </c>
      <c r="T703">
        <v>6</v>
      </c>
      <c r="U703" t="s">
        <v>43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tr">
        <f>IF(Table1[[#This Row],[YearsAtCompany]]&lt;1,"0-1",IF(Table1[[#This Row],[YearsAtCompany]]&lt;=3,"1-3",IF(Table1[[#This Row],[YearsAtCompany]]&lt;=6,"4-6","7+")))</f>
        <v>7+</v>
      </c>
      <c r="AH703">
        <f>Table1[[#This Row],[MonthlyIncome]]*12*0.75</f>
        <v>133668</v>
      </c>
      <c r="AI7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03">
        <f>IF(Table1[[#This Row],[Attrition]]="Yes",Table1[[#This Row],[EstReplacementCost]],0)</f>
        <v>0</v>
      </c>
    </row>
    <row r="704" spans="1:36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52</v>
      </c>
      <c r="R704">
        <v>7264</v>
      </c>
      <c r="S704">
        <v>9977</v>
      </c>
      <c r="T704">
        <v>5</v>
      </c>
      <c r="U704" t="s">
        <v>43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tr">
        <f>IF(Table1[[#This Row],[YearsAtCompany]]&lt;1,"0-1",IF(Table1[[#This Row],[YearsAtCompany]]&lt;=3,"1-3",IF(Table1[[#This Row],[YearsAtCompany]]&lt;=6,"4-6","7+")))</f>
        <v>7+</v>
      </c>
      <c r="AH704">
        <f>Table1[[#This Row],[MonthlyIncome]]*12*0.75</f>
        <v>65376</v>
      </c>
      <c r="AI7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04">
        <f>IF(Table1[[#This Row],[Attrition]]="Yes",Table1[[#This Row],[EstReplacementCost]],0)</f>
        <v>0</v>
      </c>
    </row>
    <row r="705" spans="1:36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>
        <v>5666</v>
      </c>
      <c r="S705">
        <v>19899</v>
      </c>
      <c r="T705">
        <v>1</v>
      </c>
      <c r="U705" t="s">
        <v>35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tr">
        <f>IF(Table1[[#This Row],[YearsAtCompany]]&lt;1,"0-1",IF(Table1[[#This Row],[YearsAtCompany]]&lt;=3,"1-3",IF(Table1[[#This Row],[YearsAtCompany]]&lt;=6,"4-6","7+")))</f>
        <v>4-6</v>
      </c>
      <c r="AH705">
        <f>Table1[[#This Row],[MonthlyIncome]]*12*0.75</f>
        <v>50994</v>
      </c>
      <c r="AI7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05">
        <f>IF(Table1[[#This Row],[Attrition]]="Yes",Table1[[#This Row],[EstReplacementCost]],0)</f>
        <v>0</v>
      </c>
    </row>
    <row r="706" spans="1:36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52</v>
      </c>
      <c r="R706">
        <v>7823</v>
      </c>
      <c r="S706">
        <v>6812</v>
      </c>
      <c r="T706">
        <v>6</v>
      </c>
      <c r="U706" t="s">
        <v>43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tr">
        <f>IF(Table1[[#This Row],[YearsAtCompany]]&lt;1,"0-1",IF(Table1[[#This Row],[YearsAtCompany]]&lt;=3,"1-3",IF(Table1[[#This Row],[YearsAtCompany]]&lt;=6,"4-6","7+")))</f>
        <v>7+</v>
      </c>
      <c r="AH706">
        <f>Table1[[#This Row],[MonthlyIncome]]*12*0.75</f>
        <v>70407</v>
      </c>
      <c r="AI7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06">
        <f>IF(Table1[[#This Row],[Attrition]]="Yes",Table1[[#This Row],[EstReplacementCost]],0)</f>
        <v>0</v>
      </c>
    </row>
    <row r="707" spans="1:36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>
        <v>7880</v>
      </c>
      <c r="S707">
        <v>2560</v>
      </c>
      <c r="T707">
        <v>0</v>
      </c>
      <c r="U707" t="s">
        <v>43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tr">
        <f>IF(Table1[[#This Row],[YearsAtCompany]]&lt;1,"0-1",IF(Table1[[#This Row],[YearsAtCompany]]&lt;=3,"1-3",IF(Table1[[#This Row],[YearsAtCompany]]&lt;=6,"4-6","7+")))</f>
        <v>7+</v>
      </c>
      <c r="AH707">
        <f>Table1[[#This Row],[MonthlyIncome]]*12*0.75</f>
        <v>70920</v>
      </c>
      <c r="AI7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07">
        <f>IF(Table1[[#This Row],[Attrition]]="Yes",Table1[[#This Row],[EstReplacementCost]],0)</f>
        <v>0</v>
      </c>
    </row>
    <row r="708" spans="1:36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>
        <v>13194</v>
      </c>
      <c r="S708">
        <v>17071</v>
      </c>
      <c r="T708">
        <v>4</v>
      </c>
      <c r="U708" t="s">
        <v>35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tr">
        <f>IF(Table1[[#This Row],[YearsAtCompany]]&lt;1,"0-1",IF(Table1[[#This Row],[YearsAtCompany]]&lt;=3,"1-3",IF(Table1[[#This Row],[YearsAtCompany]]&lt;=6,"4-6","7+")))</f>
        <v>1-3</v>
      </c>
      <c r="AH708">
        <f>Table1[[#This Row],[MonthlyIncome]]*12*0.75</f>
        <v>118746</v>
      </c>
      <c r="AI7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708">
        <f>IF(Table1[[#This Row],[Attrition]]="Yes",Table1[[#This Row],[EstReplacementCost]],0)</f>
        <v>118746</v>
      </c>
    </row>
    <row r="709" spans="1:36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53</v>
      </c>
      <c r="P709">
        <v>3</v>
      </c>
      <c r="Q709" t="s">
        <v>52</v>
      </c>
      <c r="R709">
        <v>5067</v>
      </c>
      <c r="S709">
        <v>6759</v>
      </c>
      <c r="T709">
        <v>1</v>
      </c>
      <c r="U709" t="s">
        <v>35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tr">
        <f>IF(Table1[[#This Row],[YearsAtCompany]]&lt;1,"0-1",IF(Table1[[#This Row],[YearsAtCompany]]&lt;=3,"1-3",IF(Table1[[#This Row],[YearsAtCompany]]&lt;=6,"4-6","7+")))</f>
        <v>7+</v>
      </c>
      <c r="AH709">
        <f>Table1[[#This Row],[MonthlyIncome]]*12*0.75</f>
        <v>45603</v>
      </c>
      <c r="AI7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09">
        <f>IF(Table1[[#This Row],[Attrition]]="Yes",Table1[[#This Row],[EstReplacementCost]],0)</f>
        <v>0</v>
      </c>
    </row>
    <row r="710" spans="1:36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52</v>
      </c>
      <c r="R710">
        <v>5079</v>
      </c>
      <c r="S710">
        <v>25952</v>
      </c>
      <c r="T710">
        <v>4</v>
      </c>
      <c r="U710" t="s">
        <v>43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tr">
        <f>IF(Table1[[#This Row],[YearsAtCompany]]&lt;1,"0-1",IF(Table1[[#This Row],[YearsAtCompany]]&lt;=3,"1-3",IF(Table1[[#This Row],[YearsAtCompany]]&lt;=6,"4-6","7+")))</f>
        <v>7+</v>
      </c>
      <c r="AH710">
        <f>Table1[[#This Row],[MonthlyIncome]]*12*0.75</f>
        <v>45711</v>
      </c>
      <c r="AI7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10">
        <f>IF(Table1[[#This Row],[Attrition]]="Yes",Table1[[#This Row],[EstReplacementCost]],0)</f>
        <v>0</v>
      </c>
    </row>
    <row r="711" spans="1:36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47</v>
      </c>
      <c r="P711">
        <v>1</v>
      </c>
      <c r="Q711" t="s">
        <v>41</v>
      </c>
      <c r="R711">
        <v>2321</v>
      </c>
      <c r="S711">
        <v>10322</v>
      </c>
      <c r="T711">
        <v>0</v>
      </c>
      <c r="U711" t="s">
        <v>35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tr">
        <f>IF(Table1[[#This Row],[YearsAtCompany]]&lt;1,"0-1",IF(Table1[[#This Row],[YearsAtCompany]]&lt;=3,"1-3",IF(Table1[[#This Row],[YearsAtCompany]]&lt;=6,"4-6","7+")))</f>
        <v>1-3</v>
      </c>
      <c r="AH711">
        <f>Table1[[#This Row],[MonthlyIncome]]*12*0.75</f>
        <v>20889</v>
      </c>
      <c r="AI7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711">
        <f>IF(Table1[[#This Row],[Attrition]]="Yes",Table1[[#This Row],[EstReplacementCost]],0)</f>
        <v>20889</v>
      </c>
    </row>
    <row r="712" spans="1:36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56</v>
      </c>
      <c r="P712">
        <v>3</v>
      </c>
      <c r="Q712" t="s">
        <v>41</v>
      </c>
      <c r="R712">
        <v>17444</v>
      </c>
      <c r="S712">
        <v>20489</v>
      </c>
      <c r="T712">
        <v>1</v>
      </c>
      <c r="U712" t="s">
        <v>43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tr">
        <f>IF(Table1[[#This Row],[YearsAtCompany]]&lt;1,"0-1",IF(Table1[[#This Row],[YearsAtCompany]]&lt;=3,"1-3",IF(Table1[[#This Row],[YearsAtCompany]]&lt;=6,"4-6","7+")))</f>
        <v>7+</v>
      </c>
      <c r="AH712">
        <f>Table1[[#This Row],[MonthlyIncome]]*12*0.75</f>
        <v>156996</v>
      </c>
      <c r="AI7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12">
        <f>IF(Table1[[#This Row],[Attrition]]="Yes",Table1[[#This Row],[EstReplacementCost]],0)</f>
        <v>0</v>
      </c>
    </row>
    <row r="713" spans="1:36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47</v>
      </c>
      <c r="P713">
        <v>1</v>
      </c>
      <c r="Q713" t="s">
        <v>41</v>
      </c>
      <c r="R713">
        <v>2404</v>
      </c>
      <c r="S713">
        <v>11479</v>
      </c>
      <c r="T713">
        <v>6</v>
      </c>
      <c r="U713" t="s">
        <v>35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tr">
        <f>IF(Table1[[#This Row],[YearsAtCompany]]&lt;1,"0-1",IF(Table1[[#This Row],[YearsAtCompany]]&lt;=3,"1-3",IF(Table1[[#This Row],[YearsAtCompany]]&lt;=6,"4-6","7+")))</f>
        <v>0-1</v>
      </c>
      <c r="AH713">
        <f>Table1[[#This Row],[MonthlyIncome]]*12*0.75</f>
        <v>21636</v>
      </c>
      <c r="AI7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713">
        <f>IF(Table1[[#This Row],[Attrition]]="Yes",Table1[[#This Row],[EstReplacementCost]],0)</f>
        <v>21636</v>
      </c>
    </row>
    <row r="714" spans="1:36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47</v>
      </c>
      <c r="P714">
        <v>4</v>
      </c>
      <c r="Q714" t="s">
        <v>41</v>
      </c>
      <c r="R714">
        <v>3452</v>
      </c>
      <c r="S714">
        <v>17241</v>
      </c>
      <c r="T714">
        <v>3</v>
      </c>
      <c r="U714" t="s">
        <v>43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tr">
        <f>IF(Table1[[#This Row],[YearsAtCompany]]&lt;1,"0-1",IF(Table1[[#This Row],[YearsAtCompany]]&lt;=3,"1-3",IF(Table1[[#This Row],[YearsAtCompany]]&lt;=6,"4-6","7+")))</f>
        <v>1-3</v>
      </c>
      <c r="AH714">
        <f>Table1[[#This Row],[MonthlyIncome]]*12*0.75</f>
        <v>31068</v>
      </c>
      <c r="AI7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14">
        <f>IF(Table1[[#This Row],[Attrition]]="Yes",Table1[[#This Row],[EstReplacementCost]],0)</f>
        <v>0</v>
      </c>
    </row>
    <row r="715" spans="1:36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50</v>
      </c>
      <c r="P715">
        <v>4</v>
      </c>
      <c r="Q715" t="s">
        <v>52</v>
      </c>
      <c r="R715">
        <v>2270</v>
      </c>
      <c r="S715">
        <v>11005</v>
      </c>
      <c r="T715">
        <v>3</v>
      </c>
      <c r="U715" t="s">
        <v>43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tr">
        <f>IF(Table1[[#This Row],[YearsAtCompany]]&lt;1,"0-1",IF(Table1[[#This Row],[YearsAtCompany]]&lt;=3,"1-3",IF(Table1[[#This Row],[YearsAtCompany]]&lt;=6,"4-6","7+")))</f>
        <v>4-6</v>
      </c>
      <c r="AH715">
        <f>Table1[[#This Row],[MonthlyIncome]]*12*0.75</f>
        <v>20430</v>
      </c>
      <c r="AI7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15">
        <f>IF(Table1[[#This Row],[Attrition]]="Yes",Table1[[#This Row],[EstReplacementCost]],0)</f>
        <v>0</v>
      </c>
    </row>
    <row r="716" spans="1:36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58</v>
      </c>
      <c r="P716">
        <v>4</v>
      </c>
      <c r="Q716" t="s">
        <v>52</v>
      </c>
      <c r="R716">
        <v>17399</v>
      </c>
      <c r="S716">
        <v>6615</v>
      </c>
      <c r="T716">
        <v>9</v>
      </c>
      <c r="U716" t="s">
        <v>43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tr">
        <f>IF(Table1[[#This Row],[YearsAtCompany]]&lt;1,"0-1",IF(Table1[[#This Row],[YearsAtCompany]]&lt;=3,"1-3",IF(Table1[[#This Row],[YearsAtCompany]]&lt;=6,"4-6","7+")))</f>
        <v>4-6</v>
      </c>
      <c r="AH716">
        <f>Table1[[#This Row],[MonthlyIncome]]*12*0.75</f>
        <v>156591</v>
      </c>
      <c r="AI7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16">
        <f>IF(Table1[[#This Row],[Attrition]]="Yes",Table1[[#This Row],[EstReplacementCost]],0)</f>
        <v>0</v>
      </c>
    </row>
    <row r="717" spans="1:36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54</v>
      </c>
      <c r="P717">
        <v>2</v>
      </c>
      <c r="Q717" t="s">
        <v>48</v>
      </c>
      <c r="R717">
        <v>5488</v>
      </c>
      <c r="S717">
        <v>20161</v>
      </c>
      <c r="T717">
        <v>1</v>
      </c>
      <c r="U717" t="s">
        <v>35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tr">
        <f>IF(Table1[[#This Row],[YearsAtCompany]]&lt;1,"0-1",IF(Table1[[#This Row],[YearsAtCompany]]&lt;=3,"1-3",IF(Table1[[#This Row],[YearsAtCompany]]&lt;=6,"4-6","7+")))</f>
        <v>4-6</v>
      </c>
      <c r="AH717">
        <f>Table1[[#This Row],[MonthlyIncome]]*12*0.75</f>
        <v>49392</v>
      </c>
      <c r="AI7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17">
        <f>IF(Table1[[#This Row],[Attrition]]="Yes",Table1[[#This Row],[EstReplacementCost]],0)</f>
        <v>0</v>
      </c>
    </row>
    <row r="718" spans="1:36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58</v>
      </c>
      <c r="P718">
        <v>3</v>
      </c>
      <c r="Q718" t="s">
        <v>52</v>
      </c>
      <c r="R718">
        <v>19419</v>
      </c>
      <c r="S718">
        <v>3735</v>
      </c>
      <c r="T718">
        <v>2</v>
      </c>
      <c r="U718" t="s">
        <v>43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tr">
        <f>IF(Table1[[#This Row],[YearsAtCompany]]&lt;1,"0-1",IF(Table1[[#This Row],[YearsAtCompany]]&lt;=3,"1-3",IF(Table1[[#This Row],[YearsAtCompany]]&lt;=6,"4-6","7+")))</f>
        <v>7+</v>
      </c>
      <c r="AH718">
        <f>Table1[[#This Row],[MonthlyIncome]]*12*0.75</f>
        <v>174771</v>
      </c>
      <c r="AI7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18">
        <f>IF(Table1[[#This Row],[Attrition]]="Yes",Table1[[#This Row],[EstReplacementCost]],0)</f>
        <v>0</v>
      </c>
    </row>
    <row r="719" spans="1:36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50</v>
      </c>
      <c r="P719">
        <v>2</v>
      </c>
      <c r="Q719" t="s">
        <v>48</v>
      </c>
      <c r="R719">
        <v>2811</v>
      </c>
      <c r="S719">
        <v>12086</v>
      </c>
      <c r="T719">
        <v>9</v>
      </c>
      <c r="U719" t="s">
        <v>43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tr">
        <f>IF(Table1[[#This Row],[YearsAtCompany]]&lt;1,"0-1",IF(Table1[[#This Row],[YearsAtCompany]]&lt;=3,"1-3",IF(Table1[[#This Row],[YearsAtCompany]]&lt;=6,"4-6","7+")))</f>
        <v>1-3</v>
      </c>
      <c r="AH719">
        <f>Table1[[#This Row],[MonthlyIncome]]*12*0.75</f>
        <v>25299</v>
      </c>
      <c r="AI7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19">
        <f>IF(Table1[[#This Row],[Attrition]]="Yes",Table1[[#This Row],[EstReplacementCost]],0)</f>
        <v>0</v>
      </c>
    </row>
    <row r="720" spans="1:36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50</v>
      </c>
      <c r="P720">
        <v>1</v>
      </c>
      <c r="Q720" t="s">
        <v>48</v>
      </c>
      <c r="R720">
        <v>3633</v>
      </c>
      <c r="S720">
        <v>14039</v>
      </c>
      <c r="T720">
        <v>1</v>
      </c>
      <c r="U720" t="s">
        <v>35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tr">
        <f>IF(Table1[[#This Row],[YearsAtCompany]]&lt;1,"0-1",IF(Table1[[#This Row],[YearsAtCompany]]&lt;=3,"1-3",IF(Table1[[#This Row],[YearsAtCompany]]&lt;=6,"4-6","7+")))</f>
        <v>7+</v>
      </c>
      <c r="AH720">
        <f>Table1[[#This Row],[MonthlyIncome]]*12*0.75</f>
        <v>32697</v>
      </c>
      <c r="AI7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20">
        <f>IF(Table1[[#This Row],[Attrition]]="Yes",Table1[[#This Row],[EstReplacementCost]],0)</f>
        <v>0</v>
      </c>
    </row>
    <row r="721" spans="1:36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>
        <v>4163</v>
      </c>
      <c r="S721">
        <v>8571</v>
      </c>
      <c r="T721">
        <v>1</v>
      </c>
      <c r="U721" t="s">
        <v>35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tr">
        <f>IF(Table1[[#This Row],[YearsAtCompany]]&lt;1,"0-1",IF(Table1[[#This Row],[YearsAtCompany]]&lt;=3,"1-3",IF(Table1[[#This Row],[YearsAtCompany]]&lt;=6,"4-6","7+")))</f>
        <v>7+</v>
      </c>
      <c r="AH721">
        <f>Table1[[#This Row],[MonthlyIncome]]*12*0.75</f>
        <v>37467</v>
      </c>
      <c r="AI7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21">
        <f>IF(Table1[[#This Row],[Attrition]]="Yes",Table1[[#This Row],[EstReplacementCost]],0)</f>
        <v>0</v>
      </c>
    </row>
    <row r="722" spans="1:36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47</v>
      </c>
      <c r="P722">
        <v>3</v>
      </c>
      <c r="Q722" t="s">
        <v>48</v>
      </c>
      <c r="R722">
        <v>2132</v>
      </c>
      <c r="S722">
        <v>11539</v>
      </c>
      <c r="T722">
        <v>4</v>
      </c>
      <c r="U722" t="s">
        <v>35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tr">
        <f>IF(Table1[[#This Row],[YearsAtCompany]]&lt;1,"0-1",IF(Table1[[#This Row],[YearsAtCompany]]&lt;=3,"1-3",IF(Table1[[#This Row],[YearsAtCompany]]&lt;=6,"4-6","7+")))</f>
        <v>4-6</v>
      </c>
      <c r="AH722">
        <f>Table1[[#This Row],[MonthlyIncome]]*12*0.75</f>
        <v>19188</v>
      </c>
      <c r="AI7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22">
        <f>IF(Table1[[#This Row],[Attrition]]="Yes",Table1[[#This Row],[EstReplacementCost]],0)</f>
        <v>19188</v>
      </c>
    </row>
    <row r="723" spans="1:36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53</v>
      </c>
      <c r="P723">
        <v>3</v>
      </c>
      <c r="Q723" t="s">
        <v>48</v>
      </c>
      <c r="R723">
        <v>13973</v>
      </c>
      <c r="S723">
        <v>4161</v>
      </c>
      <c r="T723">
        <v>3</v>
      </c>
      <c r="U723" t="s">
        <v>35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tr">
        <f>IF(Table1[[#This Row],[YearsAtCompany]]&lt;1,"0-1",IF(Table1[[#This Row],[YearsAtCompany]]&lt;=3,"1-3",IF(Table1[[#This Row],[YearsAtCompany]]&lt;=6,"4-6","7+")))</f>
        <v>7+</v>
      </c>
      <c r="AH723">
        <f>Table1[[#This Row],[MonthlyIncome]]*12*0.75</f>
        <v>125757</v>
      </c>
      <c r="AI7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23">
        <f>IF(Table1[[#This Row],[Attrition]]="Yes",Table1[[#This Row],[EstReplacementCost]],0)</f>
        <v>0</v>
      </c>
    </row>
    <row r="724" spans="1:36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47</v>
      </c>
      <c r="P724">
        <v>3</v>
      </c>
      <c r="Q724" t="s">
        <v>48</v>
      </c>
      <c r="R724">
        <v>2684</v>
      </c>
      <c r="S724">
        <v>12127</v>
      </c>
      <c r="T724">
        <v>0</v>
      </c>
      <c r="U724" t="s">
        <v>43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tr">
        <f>IF(Table1[[#This Row],[YearsAtCompany]]&lt;1,"0-1",IF(Table1[[#This Row],[YearsAtCompany]]&lt;=3,"1-3",IF(Table1[[#This Row],[YearsAtCompany]]&lt;=6,"4-6","7+")))</f>
        <v>1-3</v>
      </c>
      <c r="AH724">
        <f>Table1[[#This Row],[MonthlyIncome]]*12*0.75</f>
        <v>24156</v>
      </c>
      <c r="AI7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24">
        <f>IF(Table1[[#This Row],[Attrition]]="Yes",Table1[[#This Row],[EstReplacementCost]],0)</f>
        <v>0</v>
      </c>
    </row>
    <row r="725" spans="1:36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53</v>
      </c>
      <c r="P725">
        <v>3</v>
      </c>
      <c r="Q725" t="s">
        <v>52</v>
      </c>
      <c r="R725">
        <v>10845</v>
      </c>
      <c r="S725">
        <v>24208</v>
      </c>
      <c r="T725">
        <v>6</v>
      </c>
      <c r="U725" t="s">
        <v>43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tr">
        <f>IF(Table1[[#This Row],[YearsAtCompany]]&lt;1,"0-1",IF(Table1[[#This Row],[YearsAtCompany]]&lt;=3,"1-3",IF(Table1[[#This Row],[YearsAtCompany]]&lt;=6,"4-6","7+")))</f>
        <v>7+</v>
      </c>
      <c r="AH725">
        <f>Table1[[#This Row],[MonthlyIncome]]*12*0.75</f>
        <v>97605</v>
      </c>
      <c r="AI7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25">
        <f>IF(Table1[[#This Row],[Attrition]]="Yes",Table1[[#This Row],[EstReplacementCost]],0)</f>
        <v>0</v>
      </c>
    </row>
    <row r="726" spans="1:36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53</v>
      </c>
      <c r="P726">
        <v>3</v>
      </c>
      <c r="Q726" t="s">
        <v>52</v>
      </c>
      <c r="R726">
        <v>4377</v>
      </c>
      <c r="S726">
        <v>24117</v>
      </c>
      <c r="T726">
        <v>1</v>
      </c>
      <c r="U726" t="s">
        <v>43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tr">
        <f>IF(Table1[[#This Row],[YearsAtCompany]]&lt;1,"0-1",IF(Table1[[#This Row],[YearsAtCompany]]&lt;=3,"1-3",IF(Table1[[#This Row],[YearsAtCompany]]&lt;=6,"4-6","7+")))</f>
        <v>4-6</v>
      </c>
      <c r="AH726">
        <f>Table1[[#This Row],[MonthlyIncome]]*12*0.75</f>
        <v>39393</v>
      </c>
      <c r="AI7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26">
        <f>IF(Table1[[#This Row],[Attrition]]="Yes",Table1[[#This Row],[EstReplacementCost]],0)</f>
        <v>0</v>
      </c>
    </row>
    <row r="727" spans="1:36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50</v>
      </c>
      <c r="P727">
        <v>2</v>
      </c>
      <c r="Q727" t="s">
        <v>52</v>
      </c>
      <c r="R727">
        <v>3743</v>
      </c>
      <c r="S727">
        <v>10074</v>
      </c>
      <c r="T727">
        <v>1</v>
      </c>
      <c r="U727" t="s">
        <v>35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tr">
        <f>IF(Table1[[#This Row],[YearsAtCompany]]&lt;1,"0-1",IF(Table1[[#This Row],[YearsAtCompany]]&lt;=3,"1-3",IF(Table1[[#This Row],[YearsAtCompany]]&lt;=6,"4-6","7+")))</f>
        <v>4-6</v>
      </c>
      <c r="AH727">
        <f>Table1[[#This Row],[MonthlyIncome]]*12*0.75</f>
        <v>33687</v>
      </c>
      <c r="AI7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27">
        <f>IF(Table1[[#This Row],[Attrition]]="Yes",Table1[[#This Row],[EstReplacementCost]],0)</f>
        <v>33687</v>
      </c>
    </row>
    <row r="728" spans="1:36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53</v>
      </c>
      <c r="P728">
        <v>1</v>
      </c>
      <c r="Q728" t="s">
        <v>48</v>
      </c>
      <c r="R728">
        <v>4148</v>
      </c>
      <c r="S728">
        <v>11275</v>
      </c>
      <c r="T728">
        <v>1</v>
      </c>
      <c r="U728" t="s">
        <v>43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tr">
        <f>IF(Table1[[#This Row],[YearsAtCompany]]&lt;1,"0-1",IF(Table1[[#This Row],[YearsAtCompany]]&lt;=3,"1-3",IF(Table1[[#This Row],[YearsAtCompany]]&lt;=6,"4-6","7+")))</f>
        <v>4-6</v>
      </c>
      <c r="AH728">
        <f>Table1[[#This Row],[MonthlyIncome]]*12*0.75</f>
        <v>37332</v>
      </c>
      <c r="AI7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28">
        <f>IF(Table1[[#This Row],[Attrition]]="Yes",Table1[[#This Row],[EstReplacementCost]],0)</f>
        <v>0</v>
      </c>
    </row>
    <row r="729" spans="1:36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47</v>
      </c>
      <c r="P729">
        <v>4</v>
      </c>
      <c r="Q729" t="s">
        <v>41</v>
      </c>
      <c r="R729">
        <v>1051</v>
      </c>
      <c r="S729">
        <v>13493</v>
      </c>
      <c r="T729">
        <v>1</v>
      </c>
      <c r="U729" t="s">
        <v>43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tr">
        <f>IF(Table1[[#This Row],[YearsAtCompany]]&lt;1,"0-1",IF(Table1[[#This Row],[YearsAtCompany]]&lt;=3,"1-3",IF(Table1[[#This Row],[YearsAtCompany]]&lt;=6,"4-6","7+")))</f>
        <v>0-1</v>
      </c>
      <c r="AH729">
        <f>Table1[[#This Row],[MonthlyIncome]]*12*0.75</f>
        <v>9459</v>
      </c>
      <c r="AI7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29">
        <f>IF(Table1[[#This Row],[Attrition]]="Yes",Table1[[#This Row],[EstReplacementCost]],0)</f>
        <v>0</v>
      </c>
    </row>
    <row r="730" spans="1:36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53</v>
      </c>
      <c r="P730">
        <v>3</v>
      </c>
      <c r="Q730" t="s">
        <v>48</v>
      </c>
      <c r="R730">
        <v>10739</v>
      </c>
      <c r="S730">
        <v>13943</v>
      </c>
      <c r="T730">
        <v>8</v>
      </c>
      <c r="U730" t="s">
        <v>43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tr">
        <f>IF(Table1[[#This Row],[YearsAtCompany]]&lt;1,"0-1",IF(Table1[[#This Row],[YearsAtCompany]]&lt;=3,"1-3",IF(Table1[[#This Row],[YearsAtCompany]]&lt;=6,"4-6","7+")))</f>
        <v>7+</v>
      </c>
      <c r="AH730">
        <f>Table1[[#This Row],[MonthlyIncome]]*12*0.75</f>
        <v>96651</v>
      </c>
      <c r="AI7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30">
        <f>IF(Table1[[#This Row],[Attrition]]="Yes",Table1[[#This Row],[EstReplacementCost]],0)</f>
        <v>0</v>
      </c>
    </row>
    <row r="731" spans="1:36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54</v>
      </c>
      <c r="P731">
        <v>3</v>
      </c>
      <c r="Q731" t="s">
        <v>52</v>
      </c>
      <c r="R731">
        <v>10388</v>
      </c>
      <c r="S731">
        <v>6975</v>
      </c>
      <c r="T731">
        <v>1</v>
      </c>
      <c r="U731" t="s">
        <v>35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tr">
        <f>IF(Table1[[#This Row],[YearsAtCompany]]&lt;1,"0-1",IF(Table1[[#This Row],[YearsAtCompany]]&lt;=3,"1-3",IF(Table1[[#This Row],[YearsAtCompany]]&lt;=6,"4-6","7+")))</f>
        <v>7+</v>
      </c>
      <c r="AH731">
        <f>Table1[[#This Row],[MonthlyIncome]]*12*0.75</f>
        <v>93492</v>
      </c>
      <c r="AI7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31">
        <f>IF(Table1[[#This Row],[Attrition]]="Yes",Table1[[#This Row],[EstReplacementCost]],0)</f>
        <v>0</v>
      </c>
    </row>
    <row r="732" spans="1:36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58</v>
      </c>
      <c r="P732">
        <v>1</v>
      </c>
      <c r="Q732" t="s">
        <v>48</v>
      </c>
      <c r="R732">
        <v>11416</v>
      </c>
      <c r="S732">
        <v>17802</v>
      </c>
      <c r="T732">
        <v>0</v>
      </c>
      <c r="U732" t="s">
        <v>35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tr">
        <f>IF(Table1[[#This Row],[YearsAtCompany]]&lt;1,"0-1",IF(Table1[[#This Row],[YearsAtCompany]]&lt;=3,"1-3",IF(Table1[[#This Row],[YearsAtCompany]]&lt;=6,"4-6","7+")))</f>
        <v>7+</v>
      </c>
      <c r="AH732">
        <f>Table1[[#This Row],[MonthlyIncome]]*12*0.75</f>
        <v>102744</v>
      </c>
      <c r="AI7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32">
        <f>IF(Table1[[#This Row],[Attrition]]="Yes",Table1[[#This Row],[EstReplacementCost]],0)</f>
        <v>0</v>
      </c>
    </row>
    <row r="733" spans="1:36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47</v>
      </c>
      <c r="P733">
        <v>1</v>
      </c>
      <c r="Q733" t="s">
        <v>41</v>
      </c>
      <c r="R733">
        <v>2600</v>
      </c>
      <c r="S733">
        <v>18275</v>
      </c>
      <c r="T733">
        <v>1</v>
      </c>
      <c r="U733" t="s">
        <v>35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tr">
        <f>IF(Table1[[#This Row],[YearsAtCompany]]&lt;1,"0-1",IF(Table1[[#This Row],[YearsAtCompany]]&lt;=3,"1-3",IF(Table1[[#This Row],[YearsAtCompany]]&lt;=6,"4-6","7+")))</f>
        <v>1-3</v>
      </c>
      <c r="AH733">
        <f>Table1[[#This Row],[MonthlyIncome]]*12*0.75</f>
        <v>23400</v>
      </c>
      <c r="AI7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733">
        <f>IF(Table1[[#This Row],[Attrition]]="Yes",Table1[[#This Row],[EstReplacementCost]],0)</f>
        <v>23400</v>
      </c>
    </row>
    <row r="734" spans="1:36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50</v>
      </c>
      <c r="P734">
        <v>2</v>
      </c>
      <c r="Q734" t="s">
        <v>41</v>
      </c>
      <c r="R734">
        <v>2422</v>
      </c>
      <c r="S734">
        <v>25725</v>
      </c>
      <c r="T734">
        <v>0</v>
      </c>
      <c r="U734" t="s">
        <v>43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tr">
        <f>IF(Table1[[#This Row],[YearsAtCompany]]&lt;1,"0-1",IF(Table1[[#This Row],[YearsAtCompany]]&lt;=3,"1-3",IF(Table1[[#This Row],[YearsAtCompany]]&lt;=6,"4-6","7+")))</f>
        <v>1-3</v>
      </c>
      <c r="AH734">
        <f>Table1[[#This Row],[MonthlyIncome]]*12*0.75</f>
        <v>21798</v>
      </c>
      <c r="AI7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34">
        <f>IF(Table1[[#This Row],[Attrition]]="Yes",Table1[[#This Row],[EstReplacementCost]],0)</f>
        <v>21798</v>
      </c>
    </row>
    <row r="735" spans="1:36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53</v>
      </c>
      <c r="P735">
        <v>4</v>
      </c>
      <c r="Q735" t="s">
        <v>48</v>
      </c>
      <c r="R735">
        <v>5472</v>
      </c>
      <c r="S735">
        <v>3334</v>
      </c>
      <c r="T735">
        <v>1</v>
      </c>
      <c r="U735" t="s">
        <v>43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tr">
        <f>IF(Table1[[#This Row],[YearsAtCompany]]&lt;1,"0-1",IF(Table1[[#This Row],[YearsAtCompany]]&lt;=3,"1-3",IF(Table1[[#This Row],[YearsAtCompany]]&lt;=6,"4-6","7+")))</f>
        <v>7+</v>
      </c>
      <c r="AH735">
        <f>Table1[[#This Row],[MonthlyIncome]]*12*0.75</f>
        <v>49248</v>
      </c>
      <c r="AI7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35">
        <f>IF(Table1[[#This Row],[Attrition]]="Yes",Table1[[#This Row],[EstReplacementCost]],0)</f>
        <v>0</v>
      </c>
    </row>
    <row r="736" spans="1:36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50</v>
      </c>
      <c r="P736">
        <v>1</v>
      </c>
      <c r="Q736" t="s">
        <v>48</v>
      </c>
      <c r="R736">
        <v>2451</v>
      </c>
      <c r="S736">
        <v>6881</v>
      </c>
      <c r="T736">
        <v>1</v>
      </c>
      <c r="U736" t="s">
        <v>43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tr">
        <f>IF(Table1[[#This Row],[YearsAtCompany]]&lt;1,"0-1",IF(Table1[[#This Row],[YearsAtCompany]]&lt;=3,"1-3",IF(Table1[[#This Row],[YearsAtCompany]]&lt;=6,"4-6","7+")))</f>
        <v>4-6</v>
      </c>
      <c r="AH736">
        <f>Table1[[#This Row],[MonthlyIncome]]*12*0.75</f>
        <v>22059</v>
      </c>
      <c r="AI7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36">
        <f>IF(Table1[[#This Row],[Attrition]]="Yes",Table1[[#This Row],[EstReplacementCost]],0)</f>
        <v>0</v>
      </c>
    </row>
    <row r="737" spans="1:36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54</v>
      </c>
      <c r="P737">
        <v>3</v>
      </c>
      <c r="Q737" t="s">
        <v>41</v>
      </c>
      <c r="R737">
        <v>4240</v>
      </c>
      <c r="S737">
        <v>13119</v>
      </c>
      <c r="T737">
        <v>2</v>
      </c>
      <c r="U737" t="s">
        <v>43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tr">
        <f>IF(Table1[[#This Row],[YearsAtCompany]]&lt;1,"0-1",IF(Table1[[#This Row],[YearsAtCompany]]&lt;=3,"1-3",IF(Table1[[#This Row],[YearsAtCompany]]&lt;=6,"4-6","7+")))</f>
        <v>1-3</v>
      </c>
      <c r="AH737">
        <f>Table1[[#This Row],[MonthlyIncome]]*12*0.75</f>
        <v>38160</v>
      </c>
      <c r="AI7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37">
        <f>IF(Table1[[#This Row],[Attrition]]="Yes",Table1[[#This Row],[EstReplacementCost]],0)</f>
        <v>0</v>
      </c>
    </row>
    <row r="738" spans="1:36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54</v>
      </c>
      <c r="P738">
        <v>3</v>
      </c>
      <c r="Q738" t="s">
        <v>41</v>
      </c>
      <c r="R738">
        <v>10999</v>
      </c>
      <c r="S738">
        <v>22245</v>
      </c>
      <c r="T738">
        <v>7</v>
      </c>
      <c r="U738" t="s">
        <v>43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tr">
        <f>IF(Table1[[#This Row],[YearsAtCompany]]&lt;1,"0-1",IF(Table1[[#This Row],[YearsAtCompany]]&lt;=3,"1-3",IF(Table1[[#This Row],[YearsAtCompany]]&lt;=6,"4-6","7+")))</f>
        <v>7+</v>
      </c>
      <c r="AH738">
        <f>Table1[[#This Row],[MonthlyIncome]]*12*0.75</f>
        <v>98991</v>
      </c>
      <c r="AI7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38">
        <f>IF(Table1[[#This Row],[Attrition]]="Yes",Table1[[#This Row],[EstReplacementCost]],0)</f>
        <v>0</v>
      </c>
    </row>
    <row r="739" spans="1:36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53</v>
      </c>
      <c r="P739">
        <v>3</v>
      </c>
      <c r="Q739" t="s">
        <v>41</v>
      </c>
      <c r="R739">
        <v>5003</v>
      </c>
      <c r="S739">
        <v>23371</v>
      </c>
      <c r="T739">
        <v>6</v>
      </c>
      <c r="U739" t="s">
        <v>43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tr">
        <f>IF(Table1[[#This Row],[YearsAtCompany]]&lt;1,"0-1",IF(Table1[[#This Row],[YearsAtCompany]]&lt;=3,"1-3",IF(Table1[[#This Row],[YearsAtCompany]]&lt;=6,"4-6","7+")))</f>
        <v>1-3</v>
      </c>
      <c r="AH739">
        <f>Table1[[#This Row],[MonthlyIncome]]*12*0.75</f>
        <v>45027</v>
      </c>
      <c r="AI7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39">
        <f>IF(Table1[[#This Row],[Attrition]]="Yes",Table1[[#This Row],[EstReplacementCost]],0)</f>
        <v>0</v>
      </c>
    </row>
    <row r="740" spans="1:36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53</v>
      </c>
      <c r="P740">
        <v>4</v>
      </c>
      <c r="Q740" t="s">
        <v>48</v>
      </c>
      <c r="R740">
        <v>12742</v>
      </c>
      <c r="S740">
        <v>7060</v>
      </c>
      <c r="T740">
        <v>1</v>
      </c>
      <c r="U740" t="s">
        <v>43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tr">
        <f>IF(Table1[[#This Row],[YearsAtCompany]]&lt;1,"0-1",IF(Table1[[#This Row],[YearsAtCompany]]&lt;=3,"1-3",IF(Table1[[#This Row],[YearsAtCompany]]&lt;=6,"4-6","7+")))</f>
        <v>7+</v>
      </c>
      <c r="AH740">
        <f>Table1[[#This Row],[MonthlyIncome]]*12*0.75</f>
        <v>114678</v>
      </c>
      <c r="AI7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40">
        <f>IF(Table1[[#This Row],[Attrition]]="Yes",Table1[[#This Row],[EstReplacementCost]],0)</f>
        <v>0</v>
      </c>
    </row>
    <row r="741" spans="1:36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53</v>
      </c>
      <c r="P741">
        <v>4</v>
      </c>
      <c r="Q741" t="s">
        <v>48</v>
      </c>
      <c r="R741">
        <v>4227</v>
      </c>
      <c r="S741">
        <v>4658</v>
      </c>
      <c r="T741">
        <v>0</v>
      </c>
      <c r="U741" t="s">
        <v>43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tr">
        <f>IF(Table1[[#This Row],[YearsAtCompany]]&lt;1,"0-1",IF(Table1[[#This Row],[YearsAtCompany]]&lt;=3,"1-3",IF(Table1[[#This Row],[YearsAtCompany]]&lt;=6,"4-6","7+")))</f>
        <v>1-3</v>
      </c>
      <c r="AH741">
        <f>Table1[[#This Row],[MonthlyIncome]]*12*0.75</f>
        <v>38043</v>
      </c>
      <c r="AI7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41">
        <f>IF(Table1[[#This Row],[Attrition]]="Yes",Table1[[#This Row],[EstReplacementCost]],0)</f>
        <v>0</v>
      </c>
    </row>
    <row r="742" spans="1:36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50</v>
      </c>
      <c r="P742">
        <v>4</v>
      </c>
      <c r="Q742" t="s">
        <v>52</v>
      </c>
      <c r="R742">
        <v>3917</v>
      </c>
      <c r="S742">
        <v>9541</v>
      </c>
      <c r="T742">
        <v>1</v>
      </c>
      <c r="U742" t="s">
        <v>43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tr">
        <f>IF(Table1[[#This Row],[YearsAtCompany]]&lt;1,"0-1",IF(Table1[[#This Row],[YearsAtCompany]]&lt;=3,"1-3",IF(Table1[[#This Row],[YearsAtCompany]]&lt;=6,"4-6","7+")))</f>
        <v>1-3</v>
      </c>
      <c r="AH742">
        <f>Table1[[#This Row],[MonthlyIncome]]*12*0.75</f>
        <v>35253</v>
      </c>
      <c r="AI7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42">
        <f>IF(Table1[[#This Row],[Attrition]]="Yes",Table1[[#This Row],[EstReplacementCost]],0)</f>
        <v>0</v>
      </c>
    </row>
    <row r="743" spans="1:36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56</v>
      </c>
      <c r="P743">
        <v>3</v>
      </c>
      <c r="Q743" t="s">
        <v>48</v>
      </c>
      <c r="R743">
        <v>18303</v>
      </c>
      <c r="S743">
        <v>7770</v>
      </c>
      <c r="T743">
        <v>6</v>
      </c>
      <c r="U743" t="s">
        <v>43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tr">
        <f>IF(Table1[[#This Row],[YearsAtCompany]]&lt;1,"0-1",IF(Table1[[#This Row],[YearsAtCompany]]&lt;=3,"1-3",IF(Table1[[#This Row],[YearsAtCompany]]&lt;=6,"4-6","7+")))</f>
        <v>1-3</v>
      </c>
      <c r="AH743">
        <f>Table1[[#This Row],[MonthlyIncome]]*12*0.75</f>
        <v>164727</v>
      </c>
      <c r="AI7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43">
        <f>IF(Table1[[#This Row],[Attrition]]="Yes",Table1[[#This Row],[EstReplacementCost]],0)</f>
        <v>0</v>
      </c>
    </row>
    <row r="744" spans="1:36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50</v>
      </c>
      <c r="P744">
        <v>4</v>
      </c>
      <c r="Q744" t="s">
        <v>48</v>
      </c>
      <c r="R744">
        <v>2380</v>
      </c>
      <c r="S744">
        <v>20165</v>
      </c>
      <c r="T744">
        <v>4</v>
      </c>
      <c r="U744" t="s">
        <v>43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tr">
        <f>IF(Table1[[#This Row],[YearsAtCompany]]&lt;1,"0-1",IF(Table1[[#This Row],[YearsAtCompany]]&lt;=3,"1-3",IF(Table1[[#This Row],[YearsAtCompany]]&lt;=6,"4-6","7+")))</f>
        <v>1-3</v>
      </c>
      <c r="AH744">
        <f>Table1[[#This Row],[MonthlyIncome]]*12*0.75</f>
        <v>21420</v>
      </c>
      <c r="AI7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44">
        <f>IF(Table1[[#This Row],[Attrition]]="Yes",Table1[[#This Row],[EstReplacementCost]],0)</f>
        <v>0</v>
      </c>
    </row>
    <row r="745" spans="1:36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53</v>
      </c>
      <c r="P745">
        <v>4</v>
      </c>
      <c r="Q745" t="s">
        <v>41</v>
      </c>
      <c r="R745">
        <v>13726</v>
      </c>
      <c r="S745">
        <v>21829</v>
      </c>
      <c r="T745">
        <v>3</v>
      </c>
      <c r="U745" t="s">
        <v>35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tr">
        <f>IF(Table1[[#This Row],[YearsAtCompany]]&lt;1,"0-1",IF(Table1[[#This Row],[YearsAtCompany]]&lt;=3,"1-3",IF(Table1[[#This Row],[YearsAtCompany]]&lt;=6,"4-6","7+")))</f>
        <v>4-6</v>
      </c>
      <c r="AH745">
        <f>Table1[[#This Row],[MonthlyIncome]]*12*0.75</f>
        <v>123534</v>
      </c>
      <c r="AI7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45">
        <f>IF(Table1[[#This Row],[Attrition]]="Yes",Table1[[#This Row],[EstReplacementCost]],0)</f>
        <v>0</v>
      </c>
    </row>
    <row r="746" spans="1:36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54</v>
      </c>
      <c r="P746">
        <v>2</v>
      </c>
      <c r="Q746" t="s">
        <v>48</v>
      </c>
      <c r="R746">
        <v>4777</v>
      </c>
      <c r="S746">
        <v>14382</v>
      </c>
      <c r="T746">
        <v>5</v>
      </c>
      <c r="U746" t="s">
        <v>43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tr">
        <f>IF(Table1[[#This Row],[YearsAtCompany]]&lt;1,"0-1",IF(Table1[[#This Row],[YearsAtCompany]]&lt;=3,"1-3",IF(Table1[[#This Row],[YearsAtCompany]]&lt;=6,"4-6","7+")))</f>
        <v>1-3</v>
      </c>
      <c r="AH746">
        <f>Table1[[#This Row],[MonthlyIncome]]*12*0.75</f>
        <v>42993</v>
      </c>
      <c r="AI7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46">
        <f>IF(Table1[[#This Row],[Attrition]]="Yes",Table1[[#This Row],[EstReplacementCost]],0)</f>
        <v>42993</v>
      </c>
    </row>
    <row r="747" spans="1:36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54</v>
      </c>
      <c r="P747">
        <v>2</v>
      </c>
      <c r="Q747" t="s">
        <v>48</v>
      </c>
      <c r="R747">
        <v>6385</v>
      </c>
      <c r="S747">
        <v>12992</v>
      </c>
      <c r="T747">
        <v>3</v>
      </c>
      <c r="U747" t="s">
        <v>35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tr">
        <f>IF(Table1[[#This Row],[YearsAtCompany]]&lt;1,"0-1",IF(Table1[[#This Row],[YearsAtCompany]]&lt;=3,"1-3",IF(Table1[[#This Row],[YearsAtCompany]]&lt;=6,"4-6","7+")))</f>
        <v>7+</v>
      </c>
      <c r="AH747">
        <f>Table1[[#This Row],[MonthlyIncome]]*12*0.75</f>
        <v>57465</v>
      </c>
      <c r="AI7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47">
        <f>IF(Table1[[#This Row],[Attrition]]="Yes",Table1[[#This Row],[EstReplacementCost]],0)</f>
        <v>0</v>
      </c>
    </row>
    <row r="748" spans="1:36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58</v>
      </c>
      <c r="P748">
        <v>3</v>
      </c>
      <c r="Q748" t="s">
        <v>52</v>
      </c>
      <c r="R748">
        <v>19973</v>
      </c>
      <c r="S748">
        <v>20284</v>
      </c>
      <c r="T748">
        <v>1</v>
      </c>
      <c r="U748" t="s">
        <v>43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tr">
        <f>IF(Table1[[#This Row],[YearsAtCompany]]&lt;1,"0-1",IF(Table1[[#This Row],[YearsAtCompany]]&lt;=3,"1-3",IF(Table1[[#This Row],[YearsAtCompany]]&lt;=6,"4-6","7+")))</f>
        <v>7+</v>
      </c>
      <c r="AH748">
        <f>Table1[[#This Row],[MonthlyIncome]]*12*0.75</f>
        <v>179757</v>
      </c>
      <c r="AI7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48">
        <f>IF(Table1[[#This Row],[Attrition]]="Yes",Table1[[#This Row],[EstReplacementCost]],0)</f>
        <v>0</v>
      </c>
    </row>
    <row r="749" spans="1:36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>
        <v>6861</v>
      </c>
      <c r="S749">
        <v>4981</v>
      </c>
      <c r="T749">
        <v>8</v>
      </c>
      <c r="U749" t="s">
        <v>35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tr">
        <f>IF(Table1[[#This Row],[YearsAtCompany]]&lt;1,"0-1",IF(Table1[[#This Row],[YearsAtCompany]]&lt;=3,"1-3",IF(Table1[[#This Row],[YearsAtCompany]]&lt;=6,"4-6","7+")))</f>
        <v>1-3</v>
      </c>
      <c r="AH749">
        <f>Table1[[#This Row],[MonthlyIncome]]*12*0.75</f>
        <v>61749</v>
      </c>
      <c r="AI7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49">
        <f>IF(Table1[[#This Row],[Attrition]]="Yes",Table1[[#This Row],[EstReplacementCost]],0)</f>
        <v>0</v>
      </c>
    </row>
    <row r="750" spans="1:36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>
        <v>4969</v>
      </c>
      <c r="S750">
        <v>21813</v>
      </c>
      <c r="T750">
        <v>8</v>
      </c>
      <c r="U750" t="s">
        <v>43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tr">
        <f>IF(Table1[[#This Row],[YearsAtCompany]]&lt;1,"0-1",IF(Table1[[#This Row],[YearsAtCompany]]&lt;=3,"1-3",IF(Table1[[#This Row],[YearsAtCompany]]&lt;=6,"4-6","7+")))</f>
        <v>1-3</v>
      </c>
      <c r="AH750">
        <f>Table1[[#This Row],[MonthlyIncome]]*12*0.75</f>
        <v>44721</v>
      </c>
      <c r="AI7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50">
        <f>IF(Table1[[#This Row],[Attrition]]="Yes",Table1[[#This Row],[EstReplacementCost]],0)</f>
        <v>44721</v>
      </c>
    </row>
    <row r="751" spans="1:36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56</v>
      </c>
      <c r="P751">
        <v>4</v>
      </c>
      <c r="Q751" t="s">
        <v>48</v>
      </c>
      <c r="R751">
        <v>19845</v>
      </c>
      <c r="S751">
        <v>25846</v>
      </c>
      <c r="T751">
        <v>1</v>
      </c>
      <c r="U751" t="s">
        <v>43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tr">
        <f>IF(Table1[[#This Row],[YearsAtCompany]]&lt;1,"0-1",IF(Table1[[#This Row],[YearsAtCompany]]&lt;=3,"1-3",IF(Table1[[#This Row],[YearsAtCompany]]&lt;=6,"4-6","7+")))</f>
        <v>7+</v>
      </c>
      <c r="AH751">
        <f>Table1[[#This Row],[MonthlyIncome]]*12*0.75</f>
        <v>178605</v>
      </c>
      <c r="AI7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51">
        <f>IF(Table1[[#This Row],[Attrition]]="Yes",Table1[[#This Row],[EstReplacementCost]],0)</f>
        <v>178605</v>
      </c>
    </row>
    <row r="752" spans="1:36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48</v>
      </c>
      <c r="R752">
        <v>13320</v>
      </c>
      <c r="S752">
        <v>11737</v>
      </c>
      <c r="T752">
        <v>3</v>
      </c>
      <c r="U752" t="s">
        <v>35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tr">
        <f>IF(Table1[[#This Row],[YearsAtCompany]]&lt;1,"0-1",IF(Table1[[#This Row],[YearsAtCompany]]&lt;=3,"1-3",IF(Table1[[#This Row],[YearsAtCompany]]&lt;=6,"4-6","7+")))</f>
        <v>7+</v>
      </c>
      <c r="AH752">
        <f>Table1[[#This Row],[MonthlyIncome]]*12*0.75</f>
        <v>119880</v>
      </c>
      <c r="AI7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52">
        <f>IF(Table1[[#This Row],[Attrition]]="Yes",Table1[[#This Row],[EstReplacementCost]],0)</f>
        <v>0</v>
      </c>
    </row>
    <row r="753" spans="1:36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48</v>
      </c>
      <c r="R753">
        <v>6347</v>
      </c>
      <c r="S753">
        <v>24920</v>
      </c>
      <c r="T753">
        <v>0</v>
      </c>
      <c r="U753" t="s">
        <v>43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tr">
        <f>IF(Table1[[#This Row],[YearsAtCompany]]&lt;1,"0-1",IF(Table1[[#This Row],[YearsAtCompany]]&lt;=3,"1-3",IF(Table1[[#This Row],[YearsAtCompany]]&lt;=6,"4-6","7+")))</f>
        <v>7+</v>
      </c>
      <c r="AH753">
        <f>Table1[[#This Row],[MonthlyIncome]]*12*0.75</f>
        <v>57123</v>
      </c>
      <c r="AI7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53">
        <f>IF(Table1[[#This Row],[Attrition]]="Yes",Table1[[#This Row],[EstReplacementCost]],0)</f>
        <v>0</v>
      </c>
    </row>
    <row r="754" spans="1:36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50</v>
      </c>
      <c r="P754">
        <v>1</v>
      </c>
      <c r="Q754" t="s">
        <v>41</v>
      </c>
      <c r="R754">
        <v>2743</v>
      </c>
      <c r="S754">
        <v>8269</v>
      </c>
      <c r="T754">
        <v>1</v>
      </c>
      <c r="U754" t="s">
        <v>43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tr">
        <f>IF(Table1[[#This Row],[YearsAtCompany]]&lt;1,"0-1",IF(Table1[[#This Row],[YearsAtCompany]]&lt;=3,"1-3",IF(Table1[[#This Row],[YearsAtCompany]]&lt;=6,"4-6","7+")))</f>
        <v>7+</v>
      </c>
      <c r="AH754">
        <f>Table1[[#This Row],[MonthlyIncome]]*12*0.75</f>
        <v>24687</v>
      </c>
      <c r="AI7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54">
        <f>IF(Table1[[#This Row],[Attrition]]="Yes",Table1[[#This Row],[EstReplacementCost]],0)</f>
        <v>24687</v>
      </c>
    </row>
    <row r="755" spans="1:36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53</v>
      </c>
      <c r="P755">
        <v>1</v>
      </c>
      <c r="Q755" t="s">
        <v>41</v>
      </c>
      <c r="R755">
        <v>10880</v>
      </c>
      <c r="S755">
        <v>5083</v>
      </c>
      <c r="T755">
        <v>1</v>
      </c>
      <c r="U755" t="s">
        <v>35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tr">
        <f>IF(Table1[[#This Row],[YearsAtCompany]]&lt;1,"0-1",IF(Table1[[#This Row],[YearsAtCompany]]&lt;=3,"1-3",IF(Table1[[#This Row],[YearsAtCompany]]&lt;=6,"4-6","7+")))</f>
        <v>7+</v>
      </c>
      <c r="AH755">
        <f>Table1[[#This Row],[MonthlyIncome]]*12*0.75</f>
        <v>97920</v>
      </c>
      <c r="AI7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55">
        <f>IF(Table1[[#This Row],[Attrition]]="Yes",Table1[[#This Row],[EstReplacementCost]],0)</f>
        <v>0</v>
      </c>
    </row>
    <row r="756" spans="1:36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57</v>
      </c>
      <c r="P756">
        <v>4</v>
      </c>
      <c r="Q756" t="s">
        <v>41</v>
      </c>
      <c r="R756">
        <v>2342</v>
      </c>
      <c r="S756">
        <v>21437</v>
      </c>
      <c r="T756">
        <v>0</v>
      </c>
      <c r="U756" t="s">
        <v>43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tr">
        <f>IF(Table1[[#This Row],[YearsAtCompany]]&lt;1,"0-1",IF(Table1[[#This Row],[YearsAtCompany]]&lt;=3,"1-3",IF(Table1[[#This Row],[YearsAtCompany]]&lt;=6,"4-6","7+")))</f>
        <v>1-3</v>
      </c>
      <c r="AH756">
        <f>Table1[[#This Row],[MonthlyIncome]]*12*0.75</f>
        <v>21078</v>
      </c>
      <c r="AI7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56">
        <f>IF(Table1[[#This Row],[Attrition]]="Yes",Table1[[#This Row],[EstReplacementCost]],0)</f>
        <v>0</v>
      </c>
    </row>
    <row r="757" spans="1:36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56</v>
      </c>
      <c r="P757">
        <v>4</v>
      </c>
      <c r="Q757" t="s">
        <v>48</v>
      </c>
      <c r="R757">
        <v>17650</v>
      </c>
      <c r="S757">
        <v>5404</v>
      </c>
      <c r="T757">
        <v>3</v>
      </c>
      <c r="U757" t="s">
        <v>43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tr">
        <f>IF(Table1[[#This Row],[YearsAtCompany]]&lt;1,"0-1",IF(Table1[[#This Row],[YearsAtCompany]]&lt;=3,"1-3",IF(Table1[[#This Row],[YearsAtCompany]]&lt;=6,"4-6","7+")))</f>
        <v>7+</v>
      </c>
      <c r="AH757">
        <f>Table1[[#This Row],[MonthlyIncome]]*12*0.75</f>
        <v>158850</v>
      </c>
      <c r="AI7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57">
        <f>IF(Table1[[#This Row],[Attrition]]="Yes",Table1[[#This Row],[EstReplacementCost]],0)</f>
        <v>0</v>
      </c>
    </row>
    <row r="758" spans="1:36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50</v>
      </c>
      <c r="P758">
        <v>3</v>
      </c>
      <c r="Q758" t="s">
        <v>41</v>
      </c>
      <c r="R758">
        <v>4025</v>
      </c>
      <c r="S758">
        <v>11135</v>
      </c>
      <c r="T758">
        <v>9</v>
      </c>
      <c r="U758" t="s">
        <v>43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tr">
        <f>IF(Table1[[#This Row],[YearsAtCompany]]&lt;1,"0-1",IF(Table1[[#This Row],[YearsAtCompany]]&lt;=3,"1-3",IF(Table1[[#This Row],[YearsAtCompany]]&lt;=6,"4-6","7+")))</f>
        <v>7+</v>
      </c>
      <c r="AH758">
        <f>Table1[[#This Row],[MonthlyIncome]]*12*0.75</f>
        <v>36225</v>
      </c>
      <c r="AI7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58">
        <f>IF(Table1[[#This Row],[Attrition]]="Yes",Table1[[#This Row],[EstReplacementCost]],0)</f>
        <v>0</v>
      </c>
    </row>
    <row r="759" spans="1:36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52</v>
      </c>
      <c r="R759">
        <v>9725</v>
      </c>
      <c r="S759">
        <v>12278</v>
      </c>
      <c r="T759">
        <v>0</v>
      </c>
      <c r="U759" t="s">
        <v>43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tr">
        <f>IF(Table1[[#This Row],[YearsAtCompany]]&lt;1,"0-1",IF(Table1[[#This Row],[YearsAtCompany]]&lt;=3,"1-3",IF(Table1[[#This Row],[YearsAtCompany]]&lt;=6,"4-6","7+")))</f>
        <v>7+</v>
      </c>
      <c r="AH759">
        <f>Table1[[#This Row],[MonthlyIncome]]*12*0.75</f>
        <v>87525</v>
      </c>
      <c r="AI7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59">
        <f>IF(Table1[[#This Row],[Attrition]]="Yes",Table1[[#This Row],[EstReplacementCost]],0)</f>
        <v>0</v>
      </c>
    </row>
    <row r="760" spans="1:36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56</v>
      </c>
      <c r="P760">
        <v>4</v>
      </c>
      <c r="Q760" t="s">
        <v>48</v>
      </c>
      <c r="R760">
        <v>11904</v>
      </c>
      <c r="S760">
        <v>11038</v>
      </c>
      <c r="T760">
        <v>3</v>
      </c>
      <c r="U760" t="s">
        <v>35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tr">
        <f>IF(Table1[[#This Row],[YearsAtCompany]]&lt;1,"0-1",IF(Table1[[#This Row],[YearsAtCompany]]&lt;=3,"1-3",IF(Table1[[#This Row],[YearsAtCompany]]&lt;=6,"4-6","7+")))</f>
        <v>4-6</v>
      </c>
      <c r="AH760">
        <f>Table1[[#This Row],[MonthlyIncome]]*12*0.75</f>
        <v>107136</v>
      </c>
      <c r="AI7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60">
        <f>IF(Table1[[#This Row],[Attrition]]="Yes",Table1[[#This Row],[EstReplacementCost]],0)</f>
        <v>0</v>
      </c>
    </row>
    <row r="761" spans="1:36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61</v>
      </c>
      <c r="P761">
        <v>2</v>
      </c>
      <c r="Q761" t="s">
        <v>41</v>
      </c>
      <c r="R761">
        <v>2177</v>
      </c>
      <c r="S761">
        <v>8318</v>
      </c>
      <c r="T761">
        <v>1</v>
      </c>
      <c r="U761" t="s">
        <v>43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tr">
        <f>IF(Table1[[#This Row],[YearsAtCompany]]&lt;1,"0-1",IF(Table1[[#This Row],[YearsAtCompany]]&lt;=3,"1-3",IF(Table1[[#This Row],[YearsAtCompany]]&lt;=6,"4-6","7+")))</f>
        <v>4-6</v>
      </c>
      <c r="AH761">
        <f>Table1[[#This Row],[MonthlyIncome]]*12*0.75</f>
        <v>19593</v>
      </c>
      <c r="AI7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61">
        <f>IF(Table1[[#This Row],[Attrition]]="Yes",Table1[[#This Row],[EstReplacementCost]],0)</f>
        <v>0</v>
      </c>
    </row>
    <row r="762" spans="1:36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48</v>
      </c>
      <c r="R762">
        <v>7525</v>
      </c>
      <c r="S762">
        <v>23537</v>
      </c>
      <c r="T762">
        <v>2</v>
      </c>
      <c r="U762" t="s">
        <v>43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tr">
        <f>IF(Table1[[#This Row],[YearsAtCompany]]&lt;1,"0-1",IF(Table1[[#This Row],[YearsAtCompany]]&lt;=3,"1-3",IF(Table1[[#This Row],[YearsAtCompany]]&lt;=6,"4-6","7+")))</f>
        <v>7+</v>
      </c>
      <c r="AH762">
        <f>Table1[[#This Row],[MonthlyIncome]]*12*0.75</f>
        <v>67725</v>
      </c>
      <c r="AI7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62">
        <f>IF(Table1[[#This Row],[Attrition]]="Yes",Table1[[#This Row],[EstReplacementCost]],0)</f>
        <v>0</v>
      </c>
    </row>
    <row r="763" spans="1:36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50</v>
      </c>
      <c r="P763">
        <v>3</v>
      </c>
      <c r="Q763" t="s">
        <v>52</v>
      </c>
      <c r="R763">
        <v>4834</v>
      </c>
      <c r="S763">
        <v>7858</v>
      </c>
      <c r="T763">
        <v>7</v>
      </c>
      <c r="U763" t="s">
        <v>43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tr">
        <f>IF(Table1[[#This Row],[YearsAtCompany]]&lt;1,"0-1",IF(Table1[[#This Row],[YearsAtCompany]]&lt;=3,"1-3",IF(Table1[[#This Row],[YearsAtCompany]]&lt;=6,"4-6","7+")))</f>
        <v>1-3</v>
      </c>
      <c r="AH763">
        <f>Table1[[#This Row],[MonthlyIncome]]*12*0.75</f>
        <v>43506</v>
      </c>
      <c r="AI7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63">
        <f>IF(Table1[[#This Row],[Attrition]]="Yes",Table1[[#This Row],[EstReplacementCost]],0)</f>
        <v>43506</v>
      </c>
    </row>
    <row r="764" spans="1:36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47</v>
      </c>
      <c r="P764">
        <v>1</v>
      </c>
      <c r="Q764" t="s">
        <v>48</v>
      </c>
      <c r="R764">
        <v>2042</v>
      </c>
      <c r="S764">
        <v>15346</v>
      </c>
      <c r="T764">
        <v>6</v>
      </c>
      <c r="U764" t="s">
        <v>35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tr">
        <f>IF(Table1[[#This Row],[YearsAtCompany]]&lt;1,"0-1",IF(Table1[[#This Row],[YearsAtCompany]]&lt;=3,"1-3",IF(Table1[[#This Row],[YearsAtCompany]]&lt;=6,"4-6","7+")))</f>
        <v>1-3</v>
      </c>
      <c r="AH764">
        <f>Table1[[#This Row],[MonthlyIncome]]*12*0.75</f>
        <v>18378</v>
      </c>
      <c r="AI7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764">
        <f>IF(Table1[[#This Row],[Attrition]]="Yes",Table1[[#This Row],[EstReplacementCost]],0)</f>
        <v>18378</v>
      </c>
    </row>
    <row r="765" spans="1:36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57</v>
      </c>
      <c r="P765">
        <v>3</v>
      </c>
      <c r="Q765" t="s">
        <v>48</v>
      </c>
      <c r="R765">
        <v>2220</v>
      </c>
      <c r="S765">
        <v>18410</v>
      </c>
      <c r="T765">
        <v>1</v>
      </c>
      <c r="U765" t="s">
        <v>35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tr">
        <f>IF(Table1[[#This Row],[YearsAtCompany]]&lt;1,"0-1",IF(Table1[[#This Row],[YearsAtCompany]]&lt;=3,"1-3",IF(Table1[[#This Row],[YearsAtCompany]]&lt;=6,"4-6","7+")))</f>
        <v>1-3</v>
      </c>
      <c r="AH765">
        <f>Table1[[#This Row],[MonthlyIncome]]*12*0.75</f>
        <v>19980</v>
      </c>
      <c r="AI7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65">
        <f>IF(Table1[[#This Row],[Attrition]]="Yes",Table1[[#This Row],[EstReplacementCost]],0)</f>
        <v>0</v>
      </c>
    </row>
    <row r="766" spans="1:36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57</v>
      </c>
      <c r="P766">
        <v>2</v>
      </c>
      <c r="Q766" t="s">
        <v>48</v>
      </c>
      <c r="R766">
        <v>1052</v>
      </c>
      <c r="S766">
        <v>23384</v>
      </c>
      <c r="T766">
        <v>1</v>
      </c>
      <c r="U766" t="s">
        <v>43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tr">
        <f>IF(Table1[[#This Row],[YearsAtCompany]]&lt;1,"0-1",IF(Table1[[#This Row],[YearsAtCompany]]&lt;=3,"1-3",IF(Table1[[#This Row],[YearsAtCompany]]&lt;=6,"4-6","7+")))</f>
        <v>1-3</v>
      </c>
      <c r="AH766">
        <f>Table1[[#This Row],[MonthlyIncome]]*12*0.75</f>
        <v>9468</v>
      </c>
      <c r="AI7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66">
        <f>IF(Table1[[#This Row],[Attrition]]="Yes",Table1[[#This Row],[EstReplacementCost]],0)</f>
        <v>0</v>
      </c>
    </row>
    <row r="767" spans="1:36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47</v>
      </c>
      <c r="P767">
        <v>3</v>
      </c>
      <c r="Q767" t="s">
        <v>48</v>
      </c>
      <c r="R767">
        <v>2821</v>
      </c>
      <c r="S767">
        <v>2997</v>
      </c>
      <c r="T767">
        <v>3</v>
      </c>
      <c r="U767" t="s">
        <v>43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tr">
        <f>IF(Table1[[#This Row],[YearsAtCompany]]&lt;1,"0-1",IF(Table1[[#This Row],[YearsAtCompany]]&lt;=3,"1-3",IF(Table1[[#This Row],[YearsAtCompany]]&lt;=6,"4-6","7+")))</f>
        <v>1-3</v>
      </c>
      <c r="AH767">
        <f>Table1[[#This Row],[MonthlyIncome]]*12*0.75</f>
        <v>25389</v>
      </c>
      <c r="AI7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67">
        <f>IF(Table1[[#This Row],[Attrition]]="Yes",Table1[[#This Row],[EstReplacementCost]],0)</f>
        <v>0</v>
      </c>
    </row>
    <row r="768" spans="1:36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58</v>
      </c>
      <c r="P768">
        <v>3</v>
      </c>
      <c r="Q768" t="s">
        <v>48</v>
      </c>
      <c r="R768">
        <v>19237</v>
      </c>
      <c r="S768">
        <v>12853</v>
      </c>
      <c r="T768">
        <v>2</v>
      </c>
      <c r="U768" t="s">
        <v>35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tr">
        <f>IF(Table1[[#This Row],[YearsAtCompany]]&lt;1,"0-1",IF(Table1[[#This Row],[YearsAtCompany]]&lt;=3,"1-3",IF(Table1[[#This Row],[YearsAtCompany]]&lt;=6,"4-6","7+")))</f>
        <v>7+</v>
      </c>
      <c r="AH768">
        <f>Table1[[#This Row],[MonthlyIncome]]*12*0.75</f>
        <v>173133</v>
      </c>
      <c r="AI7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68">
        <f>IF(Table1[[#This Row],[Attrition]]="Yes",Table1[[#This Row],[EstReplacementCost]],0)</f>
        <v>0</v>
      </c>
    </row>
    <row r="769" spans="1:36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54</v>
      </c>
      <c r="P769">
        <v>2</v>
      </c>
      <c r="Q769" t="s">
        <v>41</v>
      </c>
      <c r="R769">
        <v>4107</v>
      </c>
      <c r="S769">
        <v>13848</v>
      </c>
      <c r="T769">
        <v>3</v>
      </c>
      <c r="U769" t="s">
        <v>43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tr">
        <f>IF(Table1[[#This Row],[YearsAtCompany]]&lt;1,"0-1",IF(Table1[[#This Row],[YearsAtCompany]]&lt;=3,"1-3",IF(Table1[[#This Row],[YearsAtCompany]]&lt;=6,"4-6","7+")))</f>
        <v>4-6</v>
      </c>
      <c r="AH769">
        <f>Table1[[#This Row],[MonthlyIncome]]*12*0.75</f>
        <v>36963</v>
      </c>
      <c r="AI7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69">
        <f>IF(Table1[[#This Row],[Attrition]]="Yes",Table1[[#This Row],[EstReplacementCost]],0)</f>
        <v>0</v>
      </c>
    </row>
    <row r="770" spans="1:36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48</v>
      </c>
      <c r="R770">
        <v>8396</v>
      </c>
      <c r="S770">
        <v>22217</v>
      </c>
      <c r="T770">
        <v>1</v>
      </c>
      <c r="U770" t="s">
        <v>43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tr">
        <f>IF(Table1[[#This Row],[YearsAtCompany]]&lt;1,"0-1",IF(Table1[[#This Row],[YearsAtCompany]]&lt;=3,"1-3",IF(Table1[[#This Row],[YearsAtCompany]]&lt;=6,"4-6","7+")))</f>
        <v>7+</v>
      </c>
      <c r="AH770">
        <f>Table1[[#This Row],[MonthlyIncome]]*12*0.75</f>
        <v>75564</v>
      </c>
      <c r="AI7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70">
        <f>IF(Table1[[#This Row],[Attrition]]="Yes",Table1[[#This Row],[EstReplacementCost]],0)</f>
        <v>0</v>
      </c>
    </row>
    <row r="771" spans="1:36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47</v>
      </c>
      <c r="P771">
        <v>3</v>
      </c>
      <c r="Q771" t="s">
        <v>52</v>
      </c>
      <c r="R771">
        <v>2007</v>
      </c>
      <c r="S771">
        <v>25265</v>
      </c>
      <c r="T771">
        <v>1</v>
      </c>
      <c r="U771" t="s">
        <v>43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tr">
        <f>IF(Table1[[#This Row],[YearsAtCompany]]&lt;1,"0-1",IF(Table1[[#This Row],[YearsAtCompany]]&lt;=3,"1-3",IF(Table1[[#This Row],[YearsAtCompany]]&lt;=6,"4-6","7+")))</f>
        <v>4-6</v>
      </c>
      <c r="AH771">
        <f>Table1[[#This Row],[MonthlyIncome]]*12*0.75</f>
        <v>18063</v>
      </c>
      <c r="AI7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71">
        <f>IF(Table1[[#This Row],[Attrition]]="Yes",Table1[[#This Row],[EstReplacementCost]],0)</f>
        <v>0</v>
      </c>
    </row>
    <row r="772" spans="1:36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58</v>
      </c>
      <c r="P772">
        <v>4</v>
      </c>
      <c r="Q772" t="s">
        <v>52</v>
      </c>
      <c r="R772">
        <v>19627</v>
      </c>
      <c r="S772">
        <v>21445</v>
      </c>
      <c r="T772">
        <v>9</v>
      </c>
      <c r="U772" t="s">
        <v>43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tr">
        <f>IF(Table1[[#This Row],[YearsAtCompany]]&lt;1,"0-1",IF(Table1[[#This Row],[YearsAtCompany]]&lt;=3,"1-3",IF(Table1[[#This Row],[YearsAtCompany]]&lt;=6,"4-6","7+")))</f>
        <v>1-3</v>
      </c>
      <c r="AH772">
        <f>Table1[[#This Row],[MonthlyIncome]]*12*0.75</f>
        <v>176643</v>
      </c>
      <c r="AI7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72">
        <f>IF(Table1[[#This Row],[Attrition]]="Yes",Table1[[#This Row],[EstReplacementCost]],0)</f>
        <v>0</v>
      </c>
    </row>
    <row r="773" spans="1:36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48</v>
      </c>
      <c r="R773">
        <v>10686</v>
      </c>
      <c r="S773">
        <v>8392</v>
      </c>
      <c r="T773">
        <v>6</v>
      </c>
      <c r="U773" t="s">
        <v>43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tr">
        <f>IF(Table1[[#This Row],[YearsAtCompany]]&lt;1,"0-1",IF(Table1[[#This Row],[YearsAtCompany]]&lt;=3,"1-3",IF(Table1[[#This Row],[YearsAtCompany]]&lt;=6,"4-6","7+")))</f>
        <v>7+</v>
      </c>
      <c r="AH773">
        <f>Table1[[#This Row],[MonthlyIncome]]*12*0.75</f>
        <v>96174</v>
      </c>
      <c r="AI7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73">
        <f>IF(Table1[[#This Row],[Attrition]]="Yes",Table1[[#This Row],[EstReplacementCost]],0)</f>
        <v>0</v>
      </c>
    </row>
    <row r="774" spans="1:36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47</v>
      </c>
      <c r="P774">
        <v>3</v>
      </c>
      <c r="Q774" t="s">
        <v>48</v>
      </c>
      <c r="R774">
        <v>2942</v>
      </c>
      <c r="S774">
        <v>12154</v>
      </c>
      <c r="T774">
        <v>2</v>
      </c>
      <c r="U774" t="s">
        <v>43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tr">
        <f>IF(Table1[[#This Row],[YearsAtCompany]]&lt;1,"0-1",IF(Table1[[#This Row],[YearsAtCompany]]&lt;=3,"1-3",IF(Table1[[#This Row],[YearsAtCompany]]&lt;=6,"4-6","7+")))</f>
        <v>4-6</v>
      </c>
      <c r="AH774">
        <f>Table1[[#This Row],[MonthlyIncome]]*12*0.75</f>
        <v>26478</v>
      </c>
      <c r="AI7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74">
        <f>IF(Table1[[#This Row],[Attrition]]="Yes",Table1[[#This Row],[EstReplacementCost]],0)</f>
        <v>0</v>
      </c>
    </row>
    <row r="775" spans="1:36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53</v>
      </c>
      <c r="P775">
        <v>4</v>
      </c>
      <c r="Q775" t="s">
        <v>41</v>
      </c>
      <c r="R775">
        <v>8858</v>
      </c>
      <c r="S775">
        <v>15669</v>
      </c>
      <c r="T775">
        <v>0</v>
      </c>
      <c r="U775" t="s">
        <v>43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tr">
        <f>IF(Table1[[#This Row],[YearsAtCompany]]&lt;1,"0-1",IF(Table1[[#This Row],[YearsAtCompany]]&lt;=3,"1-3",IF(Table1[[#This Row],[YearsAtCompany]]&lt;=6,"4-6","7+")))</f>
        <v>7+</v>
      </c>
      <c r="AH775">
        <f>Table1[[#This Row],[MonthlyIncome]]*12*0.75</f>
        <v>79722</v>
      </c>
      <c r="AI7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75">
        <f>IF(Table1[[#This Row],[Attrition]]="Yes",Table1[[#This Row],[EstReplacementCost]],0)</f>
        <v>0</v>
      </c>
    </row>
    <row r="776" spans="1:36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56</v>
      </c>
      <c r="P776">
        <v>1</v>
      </c>
      <c r="Q776" t="s">
        <v>41</v>
      </c>
      <c r="R776">
        <v>16756</v>
      </c>
      <c r="S776">
        <v>17323</v>
      </c>
      <c r="T776">
        <v>7</v>
      </c>
      <c r="U776" t="s">
        <v>43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tr">
        <f>IF(Table1[[#This Row],[YearsAtCompany]]&lt;1,"0-1",IF(Table1[[#This Row],[YearsAtCompany]]&lt;=3,"1-3",IF(Table1[[#This Row],[YearsAtCompany]]&lt;=6,"4-6","7+")))</f>
        <v>7+</v>
      </c>
      <c r="AH776">
        <f>Table1[[#This Row],[MonthlyIncome]]*12*0.75</f>
        <v>150804</v>
      </c>
      <c r="AI7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76">
        <f>IF(Table1[[#This Row],[Attrition]]="Yes",Table1[[#This Row],[EstReplacementCost]],0)</f>
        <v>0</v>
      </c>
    </row>
    <row r="777" spans="1:36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52</v>
      </c>
      <c r="R777">
        <v>10798</v>
      </c>
      <c r="S777">
        <v>5268</v>
      </c>
      <c r="T777">
        <v>5</v>
      </c>
      <c r="U777" t="s">
        <v>43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tr">
        <f>IF(Table1[[#This Row],[YearsAtCompany]]&lt;1,"0-1",IF(Table1[[#This Row],[YearsAtCompany]]&lt;=3,"1-3",IF(Table1[[#This Row],[YearsAtCompany]]&lt;=6,"4-6","7+")))</f>
        <v>1-3</v>
      </c>
      <c r="AH777">
        <f>Table1[[#This Row],[MonthlyIncome]]*12*0.75</f>
        <v>97182</v>
      </c>
      <c r="AI7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77">
        <f>IF(Table1[[#This Row],[Attrition]]="Yes",Table1[[#This Row],[EstReplacementCost]],0)</f>
        <v>0</v>
      </c>
    </row>
    <row r="778" spans="1:36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57</v>
      </c>
      <c r="P778">
        <v>4</v>
      </c>
      <c r="Q778" t="s">
        <v>41</v>
      </c>
      <c r="R778">
        <v>2323</v>
      </c>
      <c r="S778">
        <v>17205</v>
      </c>
      <c r="T778">
        <v>1</v>
      </c>
      <c r="U778" t="s">
        <v>35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tr">
        <f>IF(Table1[[#This Row],[YearsAtCompany]]&lt;1,"0-1",IF(Table1[[#This Row],[YearsAtCompany]]&lt;=3,"1-3",IF(Table1[[#This Row],[YearsAtCompany]]&lt;=6,"4-6","7+")))</f>
        <v>1-3</v>
      </c>
      <c r="AH778">
        <f>Table1[[#This Row],[MonthlyIncome]]*12*0.75</f>
        <v>20907</v>
      </c>
      <c r="AI7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78">
        <f>IF(Table1[[#This Row],[Attrition]]="Yes",Table1[[#This Row],[EstReplacementCost]],0)</f>
        <v>20907</v>
      </c>
    </row>
    <row r="779" spans="1:36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50</v>
      </c>
      <c r="P779">
        <v>1</v>
      </c>
      <c r="Q779" t="s">
        <v>41</v>
      </c>
      <c r="R779">
        <v>1416</v>
      </c>
      <c r="S779">
        <v>17258</v>
      </c>
      <c r="T779">
        <v>1</v>
      </c>
      <c r="U779" t="s">
        <v>43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tr">
        <f>IF(Table1[[#This Row],[YearsAtCompany]]&lt;1,"0-1",IF(Table1[[#This Row],[YearsAtCompany]]&lt;=3,"1-3",IF(Table1[[#This Row],[YearsAtCompany]]&lt;=6,"4-6","7+")))</f>
        <v>1-3</v>
      </c>
      <c r="AH779">
        <f>Table1[[#This Row],[MonthlyIncome]]*12*0.75</f>
        <v>12744</v>
      </c>
      <c r="AI7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79">
        <f>IF(Table1[[#This Row],[Attrition]]="Yes",Table1[[#This Row],[EstReplacementCost]],0)</f>
        <v>12744</v>
      </c>
    </row>
    <row r="780" spans="1:36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47</v>
      </c>
      <c r="P780">
        <v>1</v>
      </c>
      <c r="Q780" t="s">
        <v>52</v>
      </c>
      <c r="R780">
        <v>4615</v>
      </c>
      <c r="S780">
        <v>21029</v>
      </c>
      <c r="T780">
        <v>8</v>
      </c>
      <c r="U780" t="s">
        <v>35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tr">
        <f>IF(Table1[[#This Row],[YearsAtCompany]]&lt;1,"0-1",IF(Table1[[#This Row],[YearsAtCompany]]&lt;=3,"1-3",IF(Table1[[#This Row],[YearsAtCompany]]&lt;=6,"4-6","7+")))</f>
        <v>7+</v>
      </c>
      <c r="AH780">
        <f>Table1[[#This Row],[MonthlyIncome]]*12*0.75</f>
        <v>41535</v>
      </c>
      <c r="AI7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80">
        <f>IF(Table1[[#This Row],[Attrition]]="Yes",Table1[[#This Row],[EstReplacementCost]],0)</f>
        <v>0</v>
      </c>
    </row>
    <row r="781" spans="1:36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47</v>
      </c>
      <c r="P781">
        <v>3</v>
      </c>
      <c r="Q781" t="s">
        <v>48</v>
      </c>
      <c r="R781">
        <v>2461</v>
      </c>
      <c r="S781">
        <v>10332</v>
      </c>
      <c r="T781">
        <v>9</v>
      </c>
      <c r="U781" t="s">
        <v>35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tr">
        <f>IF(Table1[[#This Row],[YearsAtCompany]]&lt;1,"0-1",IF(Table1[[#This Row],[YearsAtCompany]]&lt;=3,"1-3",IF(Table1[[#This Row],[YearsAtCompany]]&lt;=6,"4-6","7+")))</f>
        <v>7+</v>
      </c>
      <c r="AH781">
        <f>Table1[[#This Row],[MonthlyIncome]]*12*0.75</f>
        <v>22149</v>
      </c>
      <c r="AI7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81">
        <f>IF(Table1[[#This Row],[Attrition]]="Yes",Table1[[#This Row],[EstReplacementCost]],0)</f>
        <v>22149</v>
      </c>
    </row>
    <row r="782" spans="1:36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54</v>
      </c>
      <c r="P782">
        <v>1</v>
      </c>
      <c r="Q782" t="s">
        <v>41</v>
      </c>
      <c r="R782">
        <v>8722</v>
      </c>
      <c r="S782">
        <v>12355</v>
      </c>
      <c r="T782">
        <v>1</v>
      </c>
      <c r="U782" t="s">
        <v>43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tr">
        <f>IF(Table1[[#This Row],[YearsAtCompany]]&lt;1,"0-1",IF(Table1[[#This Row],[YearsAtCompany]]&lt;=3,"1-3",IF(Table1[[#This Row],[YearsAtCompany]]&lt;=6,"4-6","7+")))</f>
        <v>7+</v>
      </c>
      <c r="AH782">
        <f>Table1[[#This Row],[MonthlyIncome]]*12*0.75</f>
        <v>78498</v>
      </c>
      <c r="AI7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82">
        <f>IF(Table1[[#This Row],[Attrition]]="Yes",Table1[[#This Row],[EstReplacementCost]],0)</f>
        <v>78498</v>
      </c>
    </row>
    <row r="783" spans="1:36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50</v>
      </c>
      <c r="P783">
        <v>1</v>
      </c>
      <c r="Q783" t="s">
        <v>48</v>
      </c>
      <c r="R783">
        <v>3955</v>
      </c>
      <c r="S783">
        <v>11141</v>
      </c>
      <c r="T783">
        <v>1</v>
      </c>
      <c r="U783" t="s">
        <v>43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tr">
        <f>IF(Table1[[#This Row],[YearsAtCompany]]&lt;1,"0-1",IF(Table1[[#This Row],[YearsAtCompany]]&lt;=3,"1-3",IF(Table1[[#This Row],[YearsAtCompany]]&lt;=6,"4-6","7+")))</f>
        <v>4-6</v>
      </c>
      <c r="AH783">
        <f>Table1[[#This Row],[MonthlyIncome]]*12*0.75</f>
        <v>35595</v>
      </c>
      <c r="AI7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83">
        <f>IF(Table1[[#This Row],[Attrition]]="Yes",Table1[[#This Row],[EstReplacementCost]],0)</f>
        <v>0</v>
      </c>
    </row>
    <row r="784" spans="1:36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53</v>
      </c>
      <c r="P784">
        <v>1</v>
      </c>
      <c r="Q784" t="s">
        <v>48</v>
      </c>
      <c r="R784">
        <v>9957</v>
      </c>
      <c r="S784">
        <v>9096</v>
      </c>
      <c r="T784">
        <v>0</v>
      </c>
      <c r="U784" t="s">
        <v>43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tr">
        <f>IF(Table1[[#This Row],[YearsAtCompany]]&lt;1,"0-1",IF(Table1[[#This Row],[YearsAtCompany]]&lt;=3,"1-3",IF(Table1[[#This Row],[YearsAtCompany]]&lt;=6,"4-6","7+")))</f>
        <v>4-6</v>
      </c>
      <c r="AH784">
        <f>Table1[[#This Row],[MonthlyIncome]]*12*0.75</f>
        <v>89613</v>
      </c>
      <c r="AI7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84">
        <f>IF(Table1[[#This Row],[Attrition]]="Yes",Table1[[#This Row],[EstReplacementCost]],0)</f>
        <v>0</v>
      </c>
    </row>
    <row r="785" spans="1:36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47</v>
      </c>
      <c r="P785">
        <v>3</v>
      </c>
      <c r="Q785" t="s">
        <v>48</v>
      </c>
      <c r="R785">
        <v>3376</v>
      </c>
      <c r="S785">
        <v>18863</v>
      </c>
      <c r="T785">
        <v>1</v>
      </c>
      <c r="U785" t="s">
        <v>43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tr">
        <f>IF(Table1[[#This Row],[YearsAtCompany]]&lt;1,"0-1",IF(Table1[[#This Row],[YearsAtCompany]]&lt;=3,"1-3",IF(Table1[[#This Row],[YearsAtCompany]]&lt;=6,"4-6","7+")))</f>
        <v>7+</v>
      </c>
      <c r="AH785">
        <f>Table1[[#This Row],[MonthlyIncome]]*12*0.75</f>
        <v>30384</v>
      </c>
      <c r="AI7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85">
        <f>IF(Table1[[#This Row],[Attrition]]="Yes",Table1[[#This Row],[EstReplacementCost]],0)</f>
        <v>0</v>
      </c>
    </row>
    <row r="786" spans="1:36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54</v>
      </c>
      <c r="P786">
        <v>3</v>
      </c>
      <c r="Q786" t="s">
        <v>48</v>
      </c>
      <c r="R786">
        <v>8823</v>
      </c>
      <c r="S786">
        <v>24608</v>
      </c>
      <c r="T786">
        <v>0</v>
      </c>
      <c r="U786" t="s">
        <v>43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tr">
        <f>IF(Table1[[#This Row],[YearsAtCompany]]&lt;1,"0-1",IF(Table1[[#This Row],[YearsAtCompany]]&lt;=3,"1-3",IF(Table1[[#This Row],[YearsAtCompany]]&lt;=6,"4-6","7+")))</f>
        <v>7+</v>
      </c>
      <c r="AH786">
        <f>Table1[[#This Row],[MonthlyIncome]]*12*0.75</f>
        <v>79407</v>
      </c>
      <c r="AI7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86">
        <f>IF(Table1[[#This Row],[Attrition]]="Yes",Table1[[#This Row],[EstReplacementCost]],0)</f>
        <v>0</v>
      </c>
    </row>
    <row r="787" spans="1:36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54</v>
      </c>
      <c r="P787">
        <v>4</v>
      </c>
      <c r="Q787" t="s">
        <v>48</v>
      </c>
      <c r="R787">
        <v>10322</v>
      </c>
      <c r="S787">
        <v>26542</v>
      </c>
      <c r="T787">
        <v>4</v>
      </c>
      <c r="U787" t="s">
        <v>43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tr">
        <f>IF(Table1[[#This Row],[YearsAtCompany]]&lt;1,"0-1",IF(Table1[[#This Row],[YearsAtCompany]]&lt;=3,"1-3",IF(Table1[[#This Row],[YearsAtCompany]]&lt;=6,"4-6","7+")))</f>
        <v>7+</v>
      </c>
      <c r="AH787">
        <f>Table1[[#This Row],[MonthlyIncome]]*12*0.75</f>
        <v>92898</v>
      </c>
      <c r="AI7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87">
        <f>IF(Table1[[#This Row],[Attrition]]="Yes",Table1[[#This Row],[EstReplacementCost]],0)</f>
        <v>0</v>
      </c>
    </row>
    <row r="788" spans="1:36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50</v>
      </c>
      <c r="P788">
        <v>3</v>
      </c>
      <c r="Q788" t="s">
        <v>48</v>
      </c>
      <c r="R788">
        <v>4621</v>
      </c>
      <c r="S788">
        <v>5869</v>
      </c>
      <c r="T788">
        <v>1</v>
      </c>
      <c r="U788" t="s">
        <v>43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tr">
        <f>IF(Table1[[#This Row],[YearsAtCompany]]&lt;1,"0-1",IF(Table1[[#This Row],[YearsAtCompany]]&lt;=3,"1-3",IF(Table1[[#This Row],[YearsAtCompany]]&lt;=6,"4-6","7+")))</f>
        <v>1-3</v>
      </c>
      <c r="AH788">
        <f>Table1[[#This Row],[MonthlyIncome]]*12*0.75</f>
        <v>41589</v>
      </c>
      <c r="AI7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88">
        <f>IF(Table1[[#This Row],[Attrition]]="Yes",Table1[[#This Row],[EstReplacementCost]],0)</f>
        <v>0</v>
      </c>
    </row>
    <row r="789" spans="1:36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53</v>
      </c>
      <c r="P789">
        <v>2</v>
      </c>
      <c r="Q789" t="s">
        <v>48</v>
      </c>
      <c r="R789">
        <v>10976</v>
      </c>
      <c r="S789">
        <v>15813</v>
      </c>
      <c r="T789">
        <v>3</v>
      </c>
      <c r="U789" t="s">
        <v>43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tr">
        <f>IF(Table1[[#This Row],[YearsAtCompany]]&lt;1,"0-1",IF(Table1[[#This Row],[YearsAtCompany]]&lt;=3,"1-3",IF(Table1[[#This Row],[YearsAtCompany]]&lt;=6,"4-6","7+")))</f>
        <v>1-3</v>
      </c>
      <c r="AH789">
        <f>Table1[[#This Row],[MonthlyIncome]]*12*0.75</f>
        <v>98784</v>
      </c>
      <c r="AI7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89">
        <f>IF(Table1[[#This Row],[Attrition]]="Yes",Table1[[#This Row],[EstReplacementCost]],0)</f>
        <v>0</v>
      </c>
    </row>
    <row r="790" spans="1:36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47</v>
      </c>
      <c r="P790">
        <v>3</v>
      </c>
      <c r="Q790" t="s">
        <v>41</v>
      </c>
      <c r="R790">
        <v>3660</v>
      </c>
      <c r="S790">
        <v>7909</v>
      </c>
      <c r="T790">
        <v>3</v>
      </c>
      <c r="U790" t="s">
        <v>43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tr">
        <f>IF(Table1[[#This Row],[YearsAtCompany]]&lt;1,"0-1",IF(Table1[[#This Row],[YearsAtCompany]]&lt;=3,"1-3",IF(Table1[[#This Row],[YearsAtCompany]]&lt;=6,"4-6","7+")))</f>
        <v>7+</v>
      </c>
      <c r="AH790">
        <f>Table1[[#This Row],[MonthlyIncome]]*12*0.75</f>
        <v>32940</v>
      </c>
      <c r="AI7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90">
        <f>IF(Table1[[#This Row],[Attrition]]="Yes",Table1[[#This Row],[EstReplacementCost]],0)</f>
        <v>0</v>
      </c>
    </row>
    <row r="791" spans="1:36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61</v>
      </c>
      <c r="P791">
        <v>1</v>
      </c>
      <c r="Q791" t="s">
        <v>48</v>
      </c>
      <c r="R791">
        <v>10482</v>
      </c>
      <c r="S791">
        <v>2326</v>
      </c>
      <c r="T791">
        <v>9</v>
      </c>
      <c r="U791" t="s">
        <v>43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tr">
        <f>IF(Table1[[#This Row],[YearsAtCompany]]&lt;1,"0-1",IF(Table1[[#This Row],[YearsAtCompany]]&lt;=3,"1-3",IF(Table1[[#This Row],[YearsAtCompany]]&lt;=6,"4-6","7+")))</f>
        <v>7+</v>
      </c>
      <c r="AH791">
        <f>Table1[[#This Row],[MonthlyIncome]]*12*0.75</f>
        <v>94338</v>
      </c>
      <c r="AI7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91">
        <f>IF(Table1[[#This Row],[Attrition]]="Yes",Table1[[#This Row],[EstReplacementCost]],0)</f>
        <v>94338</v>
      </c>
    </row>
    <row r="792" spans="1:36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54</v>
      </c>
      <c r="P792">
        <v>4</v>
      </c>
      <c r="Q792" t="s">
        <v>52</v>
      </c>
      <c r="R792">
        <v>7119</v>
      </c>
      <c r="S792">
        <v>21214</v>
      </c>
      <c r="T792">
        <v>4</v>
      </c>
      <c r="U792" t="s">
        <v>43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tr">
        <f>IF(Table1[[#This Row],[YearsAtCompany]]&lt;1,"0-1",IF(Table1[[#This Row],[YearsAtCompany]]&lt;=3,"1-3",IF(Table1[[#This Row],[YearsAtCompany]]&lt;=6,"4-6","7+")))</f>
        <v>1-3</v>
      </c>
      <c r="AH792">
        <f>Table1[[#This Row],[MonthlyIncome]]*12*0.75</f>
        <v>64071</v>
      </c>
      <c r="AI7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92">
        <f>IF(Table1[[#This Row],[Attrition]]="Yes",Table1[[#This Row],[EstReplacementCost]],0)</f>
        <v>0</v>
      </c>
    </row>
    <row r="793" spans="1:36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>
        <v>9582</v>
      </c>
      <c r="S793">
        <v>10333</v>
      </c>
      <c r="T793">
        <v>0</v>
      </c>
      <c r="U793" t="s">
        <v>35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tr">
        <f>IF(Table1[[#This Row],[YearsAtCompany]]&lt;1,"0-1",IF(Table1[[#This Row],[YearsAtCompany]]&lt;=3,"1-3",IF(Table1[[#This Row],[YearsAtCompany]]&lt;=6,"4-6","7+")))</f>
        <v>7+</v>
      </c>
      <c r="AH793">
        <f>Table1[[#This Row],[MonthlyIncome]]*12*0.75</f>
        <v>86238</v>
      </c>
      <c r="AI7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93">
        <f>IF(Table1[[#This Row],[Attrition]]="Yes",Table1[[#This Row],[EstReplacementCost]],0)</f>
        <v>86238</v>
      </c>
    </row>
    <row r="794" spans="1:36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47</v>
      </c>
      <c r="P794">
        <v>3</v>
      </c>
      <c r="Q794" t="s">
        <v>41</v>
      </c>
      <c r="R794">
        <v>4508</v>
      </c>
      <c r="S794">
        <v>3129</v>
      </c>
      <c r="T794">
        <v>1</v>
      </c>
      <c r="U794" t="s">
        <v>43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tr">
        <f>IF(Table1[[#This Row],[YearsAtCompany]]&lt;1,"0-1",IF(Table1[[#This Row],[YearsAtCompany]]&lt;=3,"1-3",IF(Table1[[#This Row],[YearsAtCompany]]&lt;=6,"4-6","7+")))</f>
        <v>7+</v>
      </c>
      <c r="AH794">
        <f>Table1[[#This Row],[MonthlyIncome]]*12*0.75</f>
        <v>40572</v>
      </c>
      <c r="AI7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94">
        <f>IF(Table1[[#This Row],[Attrition]]="Yes",Table1[[#This Row],[EstReplacementCost]],0)</f>
        <v>40572</v>
      </c>
    </row>
    <row r="795" spans="1:36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50</v>
      </c>
      <c r="P795">
        <v>3</v>
      </c>
      <c r="Q795" t="s">
        <v>52</v>
      </c>
      <c r="R795">
        <v>2207</v>
      </c>
      <c r="S795">
        <v>22482</v>
      </c>
      <c r="T795">
        <v>1</v>
      </c>
      <c r="U795" t="s">
        <v>43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tr">
        <f>IF(Table1[[#This Row],[YearsAtCompany]]&lt;1,"0-1",IF(Table1[[#This Row],[YearsAtCompany]]&lt;=3,"1-3",IF(Table1[[#This Row],[YearsAtCompany]]&lt;=6,"4-6","7+")))</f>
        <v>4-6</v>
      </c>
      <c r="AH795">
        <f>Table1[[#This Row],[MonthlyIncome]]*12*0.75</f>
        <v>19863</v>
      </c>
      <c r="AI7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95">
        <f>IF(Table1[[#This Row],[Attrition]]="Yes",Table1[[#This Row],[EstReplacementCost]],0)</f>
        <v>0</v>
      </c>
    </row>
    <row r="796" spans="1:36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54</v>
      </c>
      <c r="P796">
        <v>4</v>
      </c>
      <c r="Q796" t="s">
        <v>41</v>
      </c>
      <c r="R796">
        <v>7756</v>
      </c>
      <c r="S796">
        <v>22266</v>
      </c>
      <c r="T796">
        <v>0</v>
      </c>
      <c r="U796" t="s">
        <v>43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tr">
        <f>IF(Table1[[#This Row],[YearsAtCompany]]&lt;1,"0-1",IF(Table1[[#This Row],[YearsAtCompany]]&lt;=3,"1-3",IF(Table1[[#This Row],[YearsAtCompany]]&lt;=6,"4-6","7+")))</f>
        <v>4-6</v>
      </c>
      <c r="AH796">
        <f>Table1[[#This Row],[MonthlyIncome]]*12*0.75</f>
        <v>69804</v>
      </c>
      <c r="AI7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96">
        <f>IF(Table1[[#This Row],[Attrition]]="Yes",Table1[[#This Row],[EstReplacementCost]],0)</f>
        <v>0</v>
      </c>
    </row>
    <row r="797" spans="1:36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52</v>
      </c>
      <c r="R797">
        <v>6694</v>
      </c>
      <c r="S797">
        <v>24223</v>
      </c>
      <c r="T797">
        <v>2</v>
      </c>
      <c r="U797" t="s">
        <v>35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tr">
        <f>IF(Table1[[#This Row],[YearsAtCompany]]&lt;1,"0-1",IF(Table1[[#This Row],[YearsAtCompany]]&lt;=3,"1-3",IF(Table1[[#This Row],[YearsAtCompany]]&lt;=6,"4-6","7+")))</f>
        <v>1-3</v>
      </c>
      <c r="AH797">
        <f>Table1[[#This Row],[MonthlyIncome]]*12*0.75</f>
        <v>60246</v>
      </c>
      <c r="AI7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97">
        <f>IF(Table1[[#This Row],[Attrition]]="Yes",Table1[[#This Row],[EstReplacementCost]],0)</f>
        <v>0</v>
      </c>
    </row>
    <row r="798" spans="1:36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50</v>
      </c>
      <c r="P798">
        <v>4</v>
      </c>
      <c r="Q798" t="s">
        <v>48</v>
      </c>
      <c r="R798">
        <v>3691</v>
      </c>
      <c r="S798">
        <v>4605</v>
      </c>
      <c r="T798">
        <v>1</v>
      </c>
      <c r="U798" t="s">
        <v>35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tr">
        <f>IF(Table1[[#This Row],[YearsAtCompany]]&lt;1,"0-1",IF(Table1[[#This Row],[YearsAtCompany]]&lt;=3,"1-3",IF(Table1[[#This Row],[YearsAtCompany]]&lt;=6,"4-6","7+")))</f>
        <v>7+</v>
      </c>
      <c r="AH798">
        <f>Table1[[#This Row],[MonthlyIncome]]*12*0.75</f>
        <v>33219</v>
      </c>
      <c r="AI7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798">
        <f>IF(Table1[[#This Row],[Attrition]]="Yes",Table1[[#This Row],[EstReplacementCost]],0)</f>
        <v>33219</v>
      </c>
    </row>
    <row r="799" spans="1:36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50</v>
      </c>
      <c r="P799">
        <v>3</v>
      </c>
      <c r="Q799" t="s">
        <v>52</v>
      </c>
      <c r="R799">
        <v>2377</v>
      </c>
      <c r="S799">
        <v>19373</v>
      </c>
      <c r="T799">
        <v>1</v>
      </c>
      <c r="U799" t="s">
        <v>43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tr">
        <f>IF(Table1[[#This Row],[YearsAtCompany]]&lt;1,"0-1",IF(Table1[[#This Row],[YearsAtCompany]]&lt;=3,"1-3",IF(Table1[[#This Row],[YearsAtCompany]]&lt;=6,"4-6","7+")))</f>
        <v>1-3</v>
      </c>
      <c r="AH799">
        <f>Table1[[#This Row],[MonthlyIncome]]*12*0.75</f>
        <v>21393</v>
      </c>
      <c r="AI7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799">
        <f>IF(Table1[[#This Row],[Attrition]]="Yes",Table1[[#This Row],[EstReplacementCost]],0)</f>
        <v>21393</v>
      </c>
    </row>
    <row r="800" spans="1:36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47</v>
      </c>
      <c r="P800">
        <v>2</v>
      </c>
      <c r="Q800" t="s">
        <v>41</v>
      </c>
      <c r="R800">
        <v>2313</v>
      </c>
      <c r="S800">
        <v>2993</v>
      </c>
      <c r="T800">
        <v>4</v>
      </c>
      <c r="U800" t="s">
        <v>35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tr">
        <f>IF(Table1[[#This Row],[YearsAtCompany]]&lt;1,"0-1",IF(Table1[[#This Row],[YearsAtCompany]]&lt;=3,"1-3",IF(Table1[[#This Row],[YearsAtCompany]]&lt;=6,"4-6","7+")))</f>
        <v>1-3</v>
      </c>
      <c r="AH800">
        <f>Table1[[#This Row],[MonthlyIncome]]*12*0.75</f>
        <v>20817</v>
      </c>
      <c r="AI8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800">
        <f>IF(Table1[[#This Row],[Attrition]]="Yes",Table1[[#This Row],[EstReplacementCost]],0)</f>
        <v>20817</v>
      </c>
    </row>
    <row r="801" spans="1:36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56</v>
      </c>
      <c r="P801">
        <v>1</v>
      </c>
      <c r="Q801" t="s">
        <v>48</v>
      </c>
      <c r="R801">
        <v>17665</v>
      </c>
      <c r="S801">
        <v>14399</v>
      </c>
      <c r="T801">
        <v>0</v>
      </c>
      <c r="U801" t="s">
        <v>43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tr">
        <f>IF(Table1[[#This Row],[YearsAtCompany]]&lt;1,"0-1",IF(Table1[[#This Row],[YearsAtCompany]]&lt;=3,"1-3",IF(Table1[[#This Row],[YearsAtCompany]]&lt;=6,"4-6","7+")))</f>
        <v>7+</v>
      </c>
      <c r="AH801">
        <f>Table1[[#This Row],[MonthlyIncome]]*12*0.75</f>
        <v>158985</v>
      </c>
      <c r="AI8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01">
        <f>IF(Table1[[#This Row],[Attrition]]="Yes",Table1[[#This Row],[EstReplacementCost]],0)</f>
        <v>0</v>
      </c>
    </row>
    <row r="802" spans="1:36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50</v>
      </c>
      <c r="P802">
        <v>2</v>
      </c>
      <c r="Q802" t="s">
        <v>52</v>
      </c>
      <c r="R802">
        <v>2596</v>
      </c>
      <c r="S802">
        <v>7160</v>
      </c>
      <c r="T802">
        <v>1</v>
      </c>
      <c r="U802" t="s">
        <v>43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tr">
        <f>IF(Table1[[#This Row],[YearsAtCompany]]&lt;1,"0-1",IF(Table1[[#This Row],[YearsAtCompany]]&lt;=3,"1-3",IF(Table1[[#This Row],[YearsAtCompany]]&lt;=6,"4-6","7+")))</f>
        <v>1-3</v>
      </c>
      <c r="AH802">
        <f>Table1[[#This Row],[MonthlyIncome]]*12*0.75</f>
        <v>23364</v>
      </c>
      <c r="AI8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02">
        <f>IF(Table1[[#This Row],[Attrition]]="Yes",Table1[[#This Row],[EstReplacementCost]],0)</f>
        <v>23364</v>
      </c>
    </row>
    <row r="803" spans="1:36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>
        <v>4728</v>
      </c>
      <c r="S803">
        <v>17251</v>
      </c>
      <c r="T803">
        <v>3</v>
      </c>
      <c r="U803" t="s">
        <v>35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tr">
        <f>IF(Table1[[#This Row],[YearsAtCompany]]&lt;1,"0-1",IF(Table1[[#This Row],[YearsAtCompany]]&lt;=3,"1-3",IF(Table1[[#This Row],[YearsAtCompany]]&lt;=6,"4-6","7+")))</f>
        <v>0-1</v>
      </c>
      <c r="AH803">
        <f>Table1[[#This Row],[MonthlyIncome]]*12*0.75</f>
        <v>42552</v>
      </c>
      <c r="AI8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03">
        <f>IF(Table1[[#This Row],[Attrition]]="Yes",Table1[[#This Row],[EstReplacementCost]],0)</f>
        <v>42552</v>
      </c>
    </row>
    <row r="804" spans="1:36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48</v>
      </c>
      <c r="R804">
        <v>4302</v>
      </c>
      <c r="S804">
        <v>13401</v>
      </c>
      <c r="T804">
        <v>0</v>
      </c>
      <c r="U804" t="s">
        <v>43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tr">
        <f>IF(Table1[[#This Row],[YearsAtCompany]]&lt;1,"0-1",IF(Table1[[#This Row],[YearsAtCompany]]&lt;=3,"1-3",IF(Table1[[#This Row],[YearsAtCompany]]&lt;=6,"4-6","7+")))</f>
        <v>1-3</v>
      </c>
      <c r="AH804">
        <f>Table1[[#This Row],[MonthlyIncome]]*12*0.75</f>
        <v>38718</v>
      </c>
      <c r="AI8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04">
        <f>IF(Table1[[#This Row],[Attrition]]="Yes",Table1[[#This Row],[EstReplacementCost]],0)</f>
        <v>0</v>
      </c>
    </row>
    <row r="805" spans="1:36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47</v>
      </c>
      <c r="P805">
        <v>4</v>
      </c>
      <c r="Q805" t="s">
        <v>48</v>
      </c>
      <c r="R805">
        <v>2979</v>
      </c>
      <c r="S805">
        <v>22478</v>
      </c>
      <c r="T805">
        <v>3</v>
      </c>
      <c r="U805" t="s">
        <v>43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tr">
        <f>IF(Table1[[#This Row],[YearsAtCompany]]&lt;1,"0-1",IF(Table1[[#This Row],[YearsAtCompany]]&lt;=3,"1-3",IF(Table1[[#This Row],[YearsAtCompany]]&lt;=6,"4-6","7+")))</f>
        <v>0-1</v>
      </c>
      <c r="AH805">
        <f>Table1[[#This Row],[MonthlyIncome]]*12*0.75</f>
        <v>26811</v>
      </c>
      <c r="AI8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05">
        <f>IF(Table1[[#This Row],[Attrition]]="Yes",Table1[[#This Row],[EstReplacementCost]],0)</f>
        <v>0</v>
      </c>
    </row>
    <row r="806" spans="1:36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56</v>
      </c>
      <c r="P806">
        <v>4</v>
      </c>
      <c r="Q806" t="s">
        <v>41</v>
      </c>
      <c r="R806">
        <v>16885</v>
      </c>
      <c r="S806">
        <v>16154</v>
      </c>
      <c r="T806">
        <v>2</v>
      </c>
      <c r="U806" t="s">
        <v>43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tr">
        <f>IF(Table1[[#This Row],[YearsAtCompany]]&lt;1,"0-1",IF(Table1[[#This Row],[YearsAtCompany]]&lt;=3,"1-3",IF(Table1[[#This Row],[YearsAtCompany]]&lt;=6,"4-6","7+")))</f>
        <v>4-6</v>
      </c>
      <c r="AH806">
        <f>Table1[[#This Row],[MonthlyIncome]]*12*0.75</f>
        <v>151965</v>
      </c>
      <c r="AI8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06">
        <f>IF(Table1[[#This Row],[Attrition]]="Yes",Table1[[#This Row],[EstReplacementCost]],0)</f>
        <v>0</v>
      </c>
    </row>
    <row r="807" spans="1:36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48</v>
      </c>
      <c r="R807">
        <v>5593</v>
      </c>
      <c r="S807">
        <v>17970</v>
      </c>
      <c r="T807">
        <v>1</v>
      </c>
      <c r="U807" t="s">
        <v>43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tr">
        <f>IF(Table1[[#This Row],[YearsAtCompany]]&lt;1,"0-1",IF(Table1[[#This Row],[YearsAtCompany]]&lt;=3,"1-3",IF(Table1[[#This Row],[YearsAtCompany]]&lt;=6,"4-6","7+")))</f>
        <v>7+</v>
      </c>
      <c r="AH807">
        <f>Table1[[#This Row],[MonthlyIncome]]*12*0.75</f>
        <v>50337</v>
      </c>
      <c r="AI8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07">
        <f>IF(Table1[[#This Row],[Attrition]]="Yes",Table1[[#This Row],[EstReplacementCost]],0)</f>
        <v>0</v>
      </c>
    </row>
    <row r="808" spans="1:36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54</v>
      </c>
      <c r="P808">
        <v>2</v>
      </c>
      <c r="Q808" t="s">
        <v>41</v>
      </c>
      <c r="R808">
        <v>10445</v>
      </c>
      <c r="S808">
        <v>15322</v>
      </c>
      <c r="T808">
        <v>7</v>
      </c>
      <c r="U808" t="s">
        <v>43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tr">
        <f>IF(Table1[[#This Row],[YearsAtCompany]]&lt;1,"0-1",IF(Table1[[#This Row],[YearsAtCompany]]&lt;=3,"1-3",IF(Table1[[#This Row],[YearsAtCompany]]&lt;=6,"4-6","7+")))</f>
        <v>7+</v>
      </c>
      <c r="AH808">
        <f>Table1[[#This Row],[MonthlyIncome]]*12*0.75</f>
        <v>94005</v>
      </c>
      <c r="AI8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08">
        <f>IF(Table1[[#This Row],[Attrition]]="Yes",Table1[[#This Row],[EstReplacementCost]],0)</f>
        <v>0</v>
      </c>
    </row>
    <row r="809" spans="1:36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52</v>
      </c>
      <c r="R809">
        <v>8740</v>
      </c>
      <c r="S809">
        <v>5569</v>
      </c>
      <c r="T809">
        <v>0</v>
      </c>
      <c r="U809" t="s">
        <v>35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tr">
        <f>IF(Table1[[#This Row],[YearsAtCompany]]&lt;1,"0-1",IF(Table1[[#This Row],[YearsAtCompany]]&lt;=3,"1-3",IF(Table1[[#This Row],[YearsAtCompany]]&lt;=6,"4-6","7+")))</f>
        <v>7+</v>
      </c>
      <c r="AH809">
        <f>Table1[[#This Row],[MonthlyIncome]]*12*0.75</f>
        <v>78660</v>
      </c>
      <c r="AI8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09">
        <f>IF(Table1[[#This Row],[Attrition]]="Yes",Table1[[#This Row],[EstReplacementCost]],0)</f>
        <v>0</v>
      </c>
    </row>
    <row r="810" spans="1:36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47</v>
      </c>
      <c r="P810">
        <v>4</v>
      </c>
      <c r="Q810" t="s">
        <v>52</v>
      </c>
      <c r="R810">
        <v>2514</v>
      </c>
      <c r="S810">
        <v>26968</v>
      </c>
      <c r="T810">
        <v>4</v>
      </c>
      <c r="U810" t="s">
        <v>43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tr">
        <f>IF(Table1[[#This Row],[YearsAtCompany]]&lt;1,"0-1",IF(Table1[[#This Row],[YearsAtCompany]]&lt;=3,"1-3",IF(Table1[[#This Row],[YearsAtCompany]]&lt;=6,"4-6","7+")))</f>
        <v>7+</v>
      </c>
      <c r="AH810">
        <f>Table1[[#This Row],[MonthlyIncome]]*12*0.75</f>
        <v>22626</v>
      </c>
      <c r="AI8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10">
        <f>IF(Table1[[#This Row],[Attrition]]="Yes",Table1[[#This Row],[EstReplacementCost]],0)</f>
        <v>0</v>
      </c>
    </row>
    <row r="811" spans="1:36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53</v>
      </c>
      <c r="P811">
        <v>2</v>
      </c>
      <c r="Q811" t="s">
        <v>52</v>
      </c>
      <c r="R811">
        <v>7655</v>
      </c>
      <c r="S811">
        <v>8039</v>
      </c>
      <c r="T811">
        <v>0</v>
      </c>
      <c r="U811" t="s">
        <v>43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tr">
        <f>IF(Table1[[#This Row],[YearsAtCompany]]&lt;1,"0-1",IF(Table1[[#This Row],[YearsAtCompany]]&lt;=3,"1-3",IF(Table1[[#This Row],[YearsAtCompany]]&lt;=6,"4-6","7+")))</f>
        <v>7+</v>
      </c>
      <c r="AH811">
        <f>Table1[[#This Row],[MonthlyIncome]]*12*0.75</f>
        <v>68895</v>
      </c>
      <c r="AI8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11">
        <f>IF(Table1[[#This Row],[Attrition]]="Yes",Table1[[#This Row],[EstReplacementCost]],0)</f>
        <v>0</v>
      </c>
    </row>
    <row r="812" spans="1:36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56</v>
      </c>
      <c r="P812">
        <v>3</v>
      </c>
      <c r="Q812" t="s">
        <v>48</v>
      </c>
      <c r="R812">
        <v>17465</v>
      </c>
      <c r="S812">
        <v>15596</v>
      </c>
      <c r="T812">
        <v>3</v>
      </c>
      <c r="U812" t="s">
        <v>43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tr">
        <f>IF(Table1[[#This Row],[YearsAtCompany]]&lt;1,"0-1",IF(Table1[[#This Row],[YearsAtCompany]]&lt;=3,"1-3",IF(Table1[[#This Row],[YearsAtCompany]]&lt;=6,"4-6","7+")))</f>
        <v>7+</v>
      </c>
      <c r="AH812">
        <f>Table1[[#This Row],[MonthlyIncome]]*12*0.75</f>
        <v>157185</v>
      </c>
      <c r="AI8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12">
        <f>IF(Table1[[#This Row],[Attrition]]="Yes",Table1[[#This Row],[EstReplacementCost]],0)</f>
        <v>0</v>
      </c>
    </row>
    <row r="813" spans="1:36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>
        <v>7351</v>
      </c>
      <c r="S813">
        <v>20619</v>
      </c>
      <c r="T813">
        <v>7</v>
      </c>
      <c r="U813" t="s">
        <v>43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tr">
        <f>IF(Table1[[#This Row],[YearsAtCompany]]&lt;1,"0-1",IF(Table1[[#This Row],[YearsAtCompany]]&lt;=3,"1-3",IF(Table1[[#This Row],[YearsAtCompany]]&lt;=6,"4-6","7+")))</f>
        <v>1-3</v>
      </c>
      <c r="AH813">
        <f>Table1[[#This Row],[MonthlyIncome]]*12*0.75</f>
        <v>66159</v>
      </c>
      <c r="AI8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13">
        <f>IF(Table1[[#This Row],[Attrition]]="Yes",Table1[[#This Row],[EstReplacementCost]],0)</f>
        <v>0</v>
      </c>
    </row>
    <row r="814" spans="1:36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53</v>
      </c>
      <c r="P814">
        <v>1</v>
      </c>
      <c r="Q814" t="s">
        <v>48</v>
      </c>
      <c r="R814">
        <v>10820</v>
      </c>
      <c r="S814">
        <v>11535</v>
      </c>
      <c r="T814">
        <v>8</v>
      </c>
      <c r="U814" t="s">
        <v>43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tr">
        <f>IF(Table1[[#This Row],[YearsAtCompany]]&lt;1,"0-1",IF(Table1[[#This Row],[YearsAtCompany]]&lt;=3,"1-3",IF(Table1[[#This Row],[YearsAtCompany]]&lt;=6,"4-6","7+")))</f>
        <v>7+</v>
      </c>
      <c r="AH814">
        <f>Table1[[#This Row],[MonthlyIncome]]*12*0.75</f>
        <v>97380</v>
      </c>
      <c r="AI8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14">
        <f>IF(Table1[[#This Row],[Attrition]]="Yes",Table1[[#This Row],[EstReplacementCost]],0)</f>
        <v>0</v>
      </c>
    </row>
    <row r="815" spans="1:36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54</v>
      </c>
      <c r="P815">
        <v>4</v>
      </c>
      <c r="Q815" t="s">
        <v>52</v>
      </c>
      <c r="R815">
        <v>12169</v>
      </c>
      <c r="S815">
        <v>13547</v>
      </c>
      <c r="T815">
        <v>7</v>
      </c>
      <c r="U815" t="s">
        <v>43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tr">
        <f>IF(Table1[[#This Row],[YearsAtCompany]]&lt;1,"0-1",IF(Table1[[#This Row],[YearsAtCompany]]&lt;=3,"1-3",IF(Table1[[#This Row],[YearsAtCompany]]&lt;=6,"4-6","7+")))</f>
        <v>7+</v>
      </c>
      <c r="AH815">
        <f>Table1[[#This Row],[MonthlyIncome]]*12*0.75</f>
        <v>109521</v>
      </c>
      <c r="AI8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15">
        <f>IF(Table1[[#This Row],[Attrition]]="Yes",Table1[[#This Row],[EstReplacementCost]],0)</f>
        <v>109521</v>
      </c>
    </row>
    <row r="816" spans="1:36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58</v>
      </c>
      <c r="P816">
        <v>3</v>
      </c>
      <c r="Q816" t="s">
        <v>41</v>
      </c>
      <c r="R816">
        <v>19626</v>
      </c>
      <c r="S816">
        <v>17544</v>
      </c>
      <c r="T816">
        <v>1</v>
      </c>
      <c r="U816" t="s">
        <v>43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tr">
        <f>IF(Table1[[#This Row],[YearsAtCompany]]&lt;1,"0-1",IF(Table1[[#This Row],[YearsAtCompany]]&lt;=3,"1-3",IF(Table1[[#This Row],[YearsAtCompany]]&lt;=6,"4-6","7+")))</f>
        <v>7+</v>
      </c>
      <c r="AH816">
        <f>Table1[[#This Row],[MonthlyIncome]]*12*0.75</f>
        <v>176634</v>
      </c>
      <c r="AI8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16">
        <f>IF(Table1[[#This Row],[Attrition]]="Yes",Table1[[#This Row],[EstReplacementCost]],0)</f>
        <v>0</v>
      </c>
    </row>
    <row r="817" spans="1:36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47</v>
      </c>
      <c r="P817">
        <v>2</v>
      </c>
      <c r="Q817" t="s">
        <v>41</v>
      </c>
      <c r="R817">
        <v>2070</v>
      </c>
      <c r="S817">
        <v>25326</v>
      </c>
      <c r="T817">
        <v>1</v>
      </c>
      <c r="U817" t="s">
        <v>35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tr">
        <f>IF(Table1[[#This Row],[YearsAtCompany]]&lt;1,"0-1",IF(Table1[[#This Row],[YearsAtCompany]]&lt;=3,"1-3",IF(Table1[[#This Row],[YearsAtCompany]]&lt;=6,"4-6","7+")))</f>
        <v>1-3</v>
      </c>
      <c r="AH817">
        <f>Table1[[#This Row],[MonthlyIncome]]*12*0.75</f>
        <v>18630</v>
      </c>
      <c r="AI8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817">
        <f>IF(Table1[[#This Row],[Attrition]]="Yes",Table1[[#This Row],[EstReplacementCost]],0)</f>
        <v>0</v>
      </c>
    </row>
    <row r="818" spans="1:36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50</v>
      </c>
      <c r="P818">
        <v>2</v>
      </c>
      <c r="Q818" t="s">
        <v>41</v>
      </c>
      <c r="R818">
        <v>6782</v>
      </c>
      <c r="S818">
        <v>8770</v>
      </c>
      <c r="T818">
        <v>9</v>
      </c>
      <c r="U818" t="s">
        <v>43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tr">
        <f>IF(Table1[[#This Row],[YearsAtCompany]]&lt;1,"0-1",IF(Table1[[#This Row],[YearsAtCompany]]&lt;=3,"1-3",IF(Table1[[#This Row],[YearsAtCompany]]&lt;=6,"4-6","7+")))</f>
        <v>4-6</v>
      </c>
      <c r="AH818">
        <f>Table1[[#This Row],[MonthlyIncome]]*12*0.75</f>
        <v>61038</v>
      </c>
      <c r="AI8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18">
        <f>IF(Table1[[#This Row],[Attrition]]="Yes",Table1[[#This Row],[EstReplacementCost]],0)</f>
        <v>0</v>
      </c>
    </row>
    <row r="819" spans="1:36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53</v>
      </c>
      <c r="P819">
        <v>4</v>
      </c>
      <c r="Q819" t="s">
        <v>41</v>
      </c>
      <c r="R819">
        <v>7779</v>
      </c>
      <c r="S819">
        <v>23238</v>
      </c>
      <c r="T819">
        <v>2</v>
      </c>
      <c r="U819" t="s">
        <v>43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tr">
        <f>IF(Table1[[#This Row],[YearsAtCompany]]&lt;1,"0-1",IF(Table1[[#This Row],[YearsAtCompany]]&lt;=3,"1-3",IF(Table1[[#This Row],[YearsAtCompany]]&lt;=6,"4-6","7+")))</f>
        <v>7+</v>
      </c>
      <c r="AH819">
        <f>Table1[[#This Row],[MonthlyIncome]]*12*0.75</f>
        <v>70011</v>
      </c>
      <c r="AI8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19">
        <f>IF(Table1[[#This Row],[Attrition]]="Yes",Table1[[#This Row],[EstReplacementCost]],0)</f>
        <v>0</v>
      </c>
    </row>
    <row r="820" spans="1:36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57</v>
      </c>
      <c r="P820">
        <v>4</v>
      </c>
      <c r="Q820" t="s">
        <v>48</v>
      </c>
      <c r="R820">
        <v>2791</v>
      </c>
      <c r="S820">
        <v>21981</v>
      </c>
      <c r="T820">
        <v>0</v>
      </c>
      <c r="U820" t="s">
        <v>43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tr">
        <f>IF(Table1[[#This Row],[YearsAtCompany]]&lt;1,"0-1",IF(Table1[[#This Row],[YearsAtCompany]]&lt;=3,"1-3",IF(Table1[[#This Row],[YearsAtCompany]]&lt;=6,"4-6","7+")))</f>
        <v>1-3</v>
      </c>
      <c r="AH820">
        <f>Table1[[#This Row],[MonthlyIncome]]*12*0.75</f>
        <v>25119</v>
      </c>
      <c r="AI8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20">
        <f>IF(Table1[[#This Row],[Attrition]]="Yes",Table1[[#This Row],[EstReplacementCost]],0)</f>
        <v>0</v>
      </c>
    </row>
    <row r="821" spans="1:36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47</v>
      </c>
      <c r="P821">
        <v>2</v>
      </c>
      <c r="Q821" t="s">
        <v>48</v>
      </c>
      <c r="R821">
        <v>3201</v>
      </c>
      <c r="S821">
        <v>19911</v>
      </c>
      <c r="T821">
        <v>0</v>
      </c>
      <c r="U821" t="s">
        <v>43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tr">
        <f>IF(Table1[[#This Row],[YearsAtCompany]]&lt;1,"0-1",IF(Table1[[#This Row],[YearsAtCompany]]&lt;=3,"1-3",IF(Table1[[#This Row],[YearsAtCompany]]&lt;=6,"4-6","7+")))</f>
        <v>4-6</v>
      </c>
      <c r="AH821">
        <f>Table1[[#This Row],[MonthlyIncome]]*12*0.75</f>
        <v>28809</v>
      </c>
      <c r="AI8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21">
        <f>IF(Table1[[#This Row],[Attrition]]="Yes",Table1[[#This Row],[EstReplacementCost]],0)</f>
        <v>0</v>
      </c>
    </row>
    <row r="822" spans="1:36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52</v>
      </c>
      <c r="R822">
        <v>4968</v>
      </c>
      <c r="S822">
        <v>18500</v>
      </c>
      <c r="T822">
        <v>1</v>
      </c>
      <c r="U822" t="s">
        <v>43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tr">
        <f>IF(Table1[[#This Row],[YearsAtCompany]]&lt;1,"0-1",IF(Table1[[#This Row],[YearsAtCompany]]&lt;=3,"1-3",IF(Table1[[#This Row],[YearsAtCompany]]&lt;=6,"4-6","7+")))</f>
        <v>4-6</v>
      </c>
      <c r="AH822">
        <f>Table1[[#This Row],[MonthlyIncome]]*12*0.75</f>
        <v>44712</v>
      </c>
      <c r="AI8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22">
        <f>IF(Table1[[#This Row],[Attrition]]="Yes",Table1[[#This Row],[EstReplacementCost]],0)</f>
        <v>0</v>
      </c>
    </row>
    <row r="823" spans="1:36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48</v>
      </c>
      <c r="R823">
        <v>13120</v>
      </c>
      <c r="S823">
        <v>11879</v>
      </c>
      <c r="T823">
        <v>6</v>
      </c>
      <c r="U823" t="s">
        <v>43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tr">
        <f>IF(Table1[[#This Row],[YearsAtCompany]]&lt;1,"0-1",IF(Table1[[#This Row],[YearsAtCompany]]&lt;=3,"1-3",IF(Table1[[#This Row],[YearsAtCompany]]&lt;=6,"4-6","7+")))</f>
        <v>7+</v>
      </c>
      <c r="AH823">
        <f>Table1[[#This Row],[MonthlyIncome]]*12*0.75</f>
        <v>118080</v>
      </c>
      <c r="AI8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23">
        <f>IF(Table1[[#This Row],[Attrition]]="Yes",Table1[[#This Row],[EstReplacementCost]],0)</f>
        <v>0</v>
      </c>
    </row>
    <row r="824" spans="1:36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53</v>
      </c>
      <c r="P824">
        <v>3</v>
      </c>
      <c r="Q824" t="s">
        <v>41</v>
      </c>
      <c r="R824">
        <v>4033</v>
      </c>
      <c r="S824">
        <v>15834</v>
      </c>
      <c r="T824">
        <v>2</v>
      </c>
      <c r="U824" t="s">
        <v>43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tr">
        <f>IF(Table1[[#This Row],[YearsAtCompany]]&lt;1,"0-1",IF(Table1[[#This Row],[YearsAtCompany]]&lt;=3,"1-3",IF(Table1[[#This Row],[YearsAtCompany]]&lt;=6,"4-6","7+")))</f>
        <v>1-3</v>
      </c>
      <c r="AH824">
        <f>Table1[[#This Row],[MonthlyIncome]]*12*0.75</f>
        <v>36297</v>
      </c>
      <c r="AI8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24">
        <f>IF(Table1[[#This Row],[Attrition]]="Yes",Table1[[#This Row],[EstReplacementCost]],0)</f>
        <v>0</v>
      </c>
    </row>
    <row r="825" spans="1:36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47</v>
      </c>
      <c r="P825">
        <v>2</v>
      </c>
      <c r="Q825" t="s">
        <v>52</v>
      </c>
      <c r="R825">
        <v>3291</v>
      </c>
      <c r="S825">
        <v>17940</v>
      </c>
      <c r="T825">
        <v>0</v>
      </c>
      <c r="U825" t="s">
        <v>43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tr">
        <f>IF(Table1[[#This Row],[YearsAtCompany]]&lt;1,"0-1",IF(Table1[[#This Row],[YearsAtCompany]]&lt;=3,"1-3",IF(Table1[[#This Row],[YearsAtCompany]]&lt;=6,"4-6","7+")))</f>
        <v>7+</v>
      </c>
      <c r="AH825">
        <f>Table1[[#This Row],[MonthlyIncome]]*12*0.75</f>
        <v>29619</v>
      </c>
      <c r="AI8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25">
        <f>IF(Table1[[#This Row],[Attrition]]="Yes",Table1[[#This Row],[EstReplacementCost]],0)</f>
        <v>0</v>
      </c>
    </row>
    <row r="826" spans="1:36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50</v>
      </c>
      <c r="P826">
        <v>4</v>
      </c>
      <c r="Q826" t="s">
        <v>41</v>
      </c>
      <c r="R826">
        <v>4272</v>
      </c>
      <c r="S826">
        <v>9558</v>
      </c>
      <c r="T826">
        <v>4</v>
      </c>
      <c r="U826" t="s">
        <v>43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tr">
        <f>IF(Table1[[#This Row],[YearsAtCompany]]&lt;1,"0-1",IF(Table1[[#This Row],[YearsAtCompany]]&lt;=3,"1-3",IF(Table1[[#This Row],[YearsAtCompany]]&lt;=6,"4-6","7+")))</f>
        <v>1-3</v>
      </c>
      <c r="AH826">
        <f>Table1[[#This Row],[MonthlyIncome]]*12*0.75</f>
        <v>38448</v>
      </c>
      <c r="AI8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26">
        <f>IF(Table1[[#This Row],[Attrition]]="Yes",Table1[[#This Row],[EstReplacementCost]],0)</f>
        <v>0</v>
      </c>
    </row>
    <row r="827" spans="1:36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53</v>
      </c>
      <c r="P827">
        <v>4</v>
      </c>
      <c r="Q827" t="s">
        <v>48</v>
      </c>
      <c r="R827">
        <v>5056</v>
      </c>
      <c r="S827">
        <v>17689</v>
      </c>
      <c r="T827">
        <v>1</v>
      </c>
      <c r="U827" t="s">
        <v>35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tr">
        <f>IF(Table1[[#This Row],[YearsAtCompany]]&lt;1,"0-1",IF(Table1[[#This Row],[YearsAtCompany]]&lt;=3,"1-3",IF(Table1[[#This Row],[YearsAtCompany]]&lt;=6,"4-6","7+")))</f>
        <v>7+</v>
      </c>
      <c r="AH827">
        <f>Table1[[#This Row],[MonthlyIncome]]*12*0.75</f>
        <v>45504</v>
      </c>
      <c r="AI8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27">
        <f>IF(Table1[[#This Row],[Attrition]]="Yes",Table1[[#This Row],[EstReplacementCost]],0)</f>
        <v>0</v>
      </c>
    </row>
    <row r="828" spans="1:36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61</v>
      </c>
      <c r="P828">
        <v>3</v>
      </c>
      <c r="Q828" t="s">
        <v>48</v>
      </c>
      <c r="R828">
        <v>2844</v>
      </c>
      <c r="S828">
        <v>6004</v>
      </c>
      <c r="T828">
        <v>1</v>
      </c>
      <c r="U828" t="s">
        <v>43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tr">
        <f>IF(Table1[[#This Row],[YearsAtCompany]]&lt;1,"0-1",IF(Table1[[#This Row],[YearsAtCompany]]&lt;=3,"1-3",IF(Table1[[#This Row],[YearsAtCompany]]&lt;=6,"4-6","7+")))</f>
        <v>7+</v>
      </c>
      <c r="AH828">
        <f>Table1[[#This Row],[MonthlyIncome]]*12*0.75</f>
        <v>25596</v>
      </c>
      <c r="AI8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28">
        <f>IF(Table1[[#This Row],[Attrition]]="Yes",Table1[[#This Row],[EstReplacementCost]],0)</f>
        <v>0</v>
      </c>
    </row>
    <row r="829" spans="1:36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47</v>
      </c>
      <c r="P829">
        <v>3</v>
      </c>
      <c r="Q829" t="s">
        <v>52</v>
      </c>
      <c r="R829">
        <v>2703</v>
      </c>
      <c r="S829">
        <v>22088</v>
      </c>
      <c r="T829">
        <v>1</v>
      </c>
      <c r="U829" t="s">
        <v>35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tr">
        <f>IF(Table1[[#This Row],[YearsAtCompany]]&lt;1,"0-1",IF(Table1[[#This Row],[YearsAtCompany]]&lt;=3,"1-3",IF(Table1[[#This Row],[YearsAtCompany]]&lt;=6,"4-6","7+")))</f>
        <v>1-3</v>
      </c>
      <c r="AH829">
        <f>Table1[[#This Row],[MonthlyIncome]]*12*0.75</f>
        <v>24327</v>
      </c>
      <c r="AI8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29">
        <f>IF(Table1[[#This Row],[Attrition]]="Yes",Table1[[#This Row],[EstReplacementCost]],0)</f>
        <v>0</v>
      </c>
    </row>
    <row r="830" spans="1:36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50</v>
      </c>
      <c r="P830">
        <v>3</v>
      </c>
      <c r="Q830" t="s">
        <v>41</v>
      </c>
      <c r="R830">
        <v>1904</v>
      </c>
      <c r="S830">
        <v>13556</v>
      </c>
      <c r="T830">
        <v>1</v>
      </c>
      <c r="U830" t="s">
        <v>43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tr">
        <f>IF(Table1[[#This Row],[YearsAtCompany]]&lt;1,"0-1",IF(Table1[[#This Row],[YearsAtCompany]]&lt;=3,"1-3",IF(Table1[[#This Row],[YearsAtCompany]]&lt;=6,"4-6","7+")))</f>
        <v>0-1</v>
      </c>
      <c r="AH830">
        <f>Table1[[#This Row],[MonthlyIncome]]*12*0.75</f>
        <v>17136</v>
      </c>
      <c r="AI8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30">
        <f>IF(Table1[[#This Row],[Attrition]]="Yes",Table1[[#This Row],[EstReplacementCost]],0)</f>
        <v>17136</v>
      </c>
    </row>
    <row r="831" spans="1:36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>
        <v>8224</v>
      </c>
      <c r="S831">
        <v>18385</v>
      </c>
      <c r="T831">
        <v>0</v>
      </c>
      <c r="U831" t="s">
        <v>35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tr">
        <f>IF(Table1[[#This Row],[YearsAtCompany]]&lt;1,"0-1",IF(Table1[[#This Row],[YearsAtCompany]]&lt;=3,"1-3",IF(Table1[[#This Row],[YearsAtCompany]]&lt;=6,"4-6","7+")))</f>
        <v>4-6</v>
      </c>
      <c r="AH831">
        <f>Table1[[#This Row],[MonthlyIncome]]*12*0.75</f>
        <v>74016</v>
      </c>
      <c r="AI8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31">
        <f>IF(Table1[[#This Row],[Attrition]]="Yes",Table1[[#This Row],[EstReplacementCost]],0)</f>
        <v>74016</v>
      </c>
    </row>
    <row r="832" spans="1:36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50</v>
      </c>
      <c r="P832">
        <v>4</v>
      </c>
      <c r="Q832" t="s">
        <v>48</v>
      </c>
      <c r="R832">
        <v>4766</v>
      </c>
      <c r="S832">
        <v>9051</v>
      </c>
      <c r="T832">
        <v>3</v>
      </c>
      <c r="U832" t="s">
        <v>35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tr">
        <f>IF(Table1[[#This Row],[YearsAtCompany]]&lt;1,"0-1",IF(Table1[[#This Row],[YearsAtCompany]]&lt;=3,"1-3",IF(Table1[[#This Row],[YearsAtCompany]]&lt;=6,"4-6","7+")))</f>
        <v>1-3</v>
      </c>
      <c r="AH832">
        <f>Table1[[#This Row],[MonthlyIncome]]*12*0.75</f>
        <v>42894</v>
      </c>
      <c r="AI8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32">
        <f>IF(Table1[[#This Row],[Attrition]]="Yes",Table1[[#This Row],[EstReplacementCost]],0)</f>
        <v>0</v>
      </c>
    </row>
    <row r="833" spans="1:36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50</v>
      </c>
      <c r="P833">
        <v>3</v>
      </c>
      <c r="Q833" t="s">
        <v>48</v>
      </c>
      <c r="R833">
        <v>2610</v>
      </c>
      <c r="S833">
        <v>6233</v>
      </c>
      <c r="T833">
        <v>1</v>
      </c>
      <c r="U833" t="s">
        <v>43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>
        <f>IF(Table1[[#This Row],[YearsAtCompany]]&lt;1,"0-1",IF(Table1[[#This Row],[YearsAtCompany]]&lt;=3,"1-3",IF(Table1[[#This Row],[YearsAtCompany]]&lt;=6,"4-6","7+")))</f>
        <v>1-3</v>
      </c>
      <c r="AH833">
        <f>Table1[[#This Row],[MonthlyIncome]]*12*0.75</f>
        <v>23490</v>
      </c>
      <c r="AI8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33">
        <f>IF(Table1[[#This Row],[Attrition]]="Yes",Table1[[#This Row],[EstReplacementCost]],0)</f>
        <v>23490</v>
      </c>
    </row>
    <row r="834" spans="1:36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54</v>
      </c>
      <c r="P834">
        <v>4</v>
      </c>
      <c r="Q834" t="s">
        <v>52</v>
      </c>
      <c r="R834">
        <v>5731</v>
      </c>
      <c r="S834">
        <v>17171</v>
      </c>
      <c r="T834">
        <v>7</v>
      </c>
      <c r="U834" t="s">
        <v>43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tr">
        <f>IF(Table1[[#This Row],[YearsAtCompany]]&lt;1,"0-1",IF(Table1[[#This Row],[YearsAtCompany]]&lt;=3,"1-3",IF(Table1[[#This Row],[YearsAtCompany]]&lt;=6,"4-6","7+")))</f>
        <v>4-6</v>
      </c>
      <c r="AH834">
        <f>Table1[[#This Row],[MonthlyIncome]]*12*0.75</f>
        <v>51579</v>
      </c>
      <c r="AI8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34">
        <f>IF(Table1[[#This Row],[Attrition]]="Yes",Table1[[#This Row],[EstReplacementCost]],0)</f>
        <v>0</v>
      </c>
    </row>
    <row r="835" spans="1:36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47</v>
      </c>
      <c r="P835">
        <v>3</v>
      </c>
      <c r="Q835" t="s">
        <v>48</v>
      </c>
      <c r="R835">
        <v>2539</v>
      </c>
      <c r="S835">
        <v>7950</v>
      </c>
      <c r="T835">
        <v>1</v>
      </c>
      <c r="U835" t="s">
        <v>43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tr">
        <f>IF(Table1[[#This Row],[YearsAtCompany]]&lt;1,"0-1",IF(Table1[[#This Row],[YearsAtCompany]]&lt;=3,"1-3",IF(Table1[[#This Row],[YearsAtCompany]]&lt;=6,"4-6","7+")))</f>
        <v>4-6</v>
      </c>
      <c r="AH835">
        <f>Table1[[#This Row],[MonthlyIncome]]*12*0.75</f>
        <v>22851</v>
      </c>
      <c r="AI8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35">
        <f>IF(Table1[[#This Row],[Attrition]]="Yes",Table1[[#This Row],[EstReplacementCost]],0)</f>
        <v>0</v>
      </c>
    </row>
    <row r="836" spans="1:36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48</v>
      </c>
      <c r="R836">
        <v>5714</v>
      </c>
      <c r="S836">
        <v>5829</v>
      </c>
      <c r="T836">
        <v>1</v>
      </c>
      <c r="U836" t="s">
        <v>43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tr">
        <f>IF(Table1[[#This Row],[YearsAtCompany]]&lt;1,"0-1",IF(Table1[[#This Row],[YearsAtCompany]]&lt;=3,"1-3",IF(Table1[[#This Row],[YearsAtCompany]]&lt;=6,"4-6","7+")))</f>
        <v>4-6</v>
      </c>
      <c r="AH836">
        <f>Table1[[#This Row],[MonthlyIncome]]*12*0.75</f>
        <v>51426</v>
      </c>
      <c r="AI8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36">
        <f>IF(Table1[[#This Row],[Attrition]]="Yes",Table1[[#This Row],[EstReplacementCost]],0)</f>
        <v>0</v>
      </c>
    </row>
    <row r="837" spans="1:36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61</v>
      </c>
      <c r="P837">
        <v>3</v>
      </c>
      <c r="Q837" t="s">
        <v>41</v>
      </c>
      <c r="R837">
        <v>4323</v>
      </c>
      <c r="S837">
        <v>7108</v>
      </c>
      <c r="T837">
        <v>1</v>
      </c>
      <c r="U837" t="s">
        <v>43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tr">
        <f>IF(Table1[[#This Row],[YearsAtCompany]]&lt;1,"0-1",IF(Table1[[#This Row],[YearsAtCompany]]&lt;=3,"1-3",IF(Table1[[#This Row],[YearsAtCompany]]&lt;=6,"4-6","7+")))</f>
        <v>4-6</v>
      </c>
      <c r="AH837">
        <f>Table1[[#This Row],[MonthlyIncome]]*12*0.75</f>
        <v>38907</v>
      </c>
      <c r="AI8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37">
        <f>IF(Table1[[#This Row],[Attrition]]="Yes",Table1[[#This Row],[EstReplacementCost]],0)</f>
        <v>0</v>
      </c>
    </row>
    <row r="838" spans="1:36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48</v>
      </c>
      <c r="R838">
        <v>7336</v>
      </c>
      <c r="S838">
        <v>11162</v>
      </c>
      <c r="T838">
        <v>1</v>
      </c>
      <c r="U838" t="s">
        <v>43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tr">
        <f>IF(Table1[[#This Row],[YearsAtCompany]]&lt;1,"0-1",IF(Table1[[#This Row],[YearsAtCompany]]&lt;=3,"1-3",IF(Table1[[#This Row],[YearsAtCompany]]&lt;=6,"4-6","7+")))</f>
        <v>7+</v>
      </c>
      <c r="AH838">
        <f>Table1[[#This Row],[MonthlyIncome]]*12*0.75</f>
        <v>66024</v>
      </c>
      <c r="AI8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38">
        <f>IF(Table1[[#This Row],[Attrition]]="Yes",Table1[[#This Row],[EstReplacementCost]],0)</f>
        <v>66024</v>
      </c>
    </row>
    <row r="839" spans="1:36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58</v>
      </c>
      <c r="P839">
        <v>3</v>
      </c>
      <c r="Q839" t="s">
        <v>41</v>
      </c>
      <c r="R839">
        <v>13499</v>
      </c>
      <c r="S839">
        <v>13782</v>
      </c>
      <c r="T839">
        <v>9</v>
      </c>
      <c r="U839" t="s">
        <v>43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tr">
        <f>IF(Table1[[#This Row],[YearsAtCompany]]&lt;1,"0-1",IF(Table1[[#This Row],[YearsAtCompany]]&lt;=3,"1-3",IF(Table1[[#This Row],[YearsAtCompany]]&lt;=6,"4-6","7+")))</f>
        <v>7+</v>
      </c>
      <c r="AH839">
        <f>Table1[[#This Row],[MonthlyIncome]]*12*0.75</f>
        <v>121491</v>
      </c>
      <c r="AI8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39">
        <f>IF(Table1[[#This Row],[Attrition]]="Yes",Table1[[#This Row],[EstReplacementCost]],0)</f>
        <v>0</v>
      </c>
    </row>
    <row r="840" spans="1:36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>
        <v>13758</v>
      </c>
      <c r="S840">
        <v>2447</v>
      </c>
      <c r="T840">
        <v>0</v>
      </c>
      <c r="U840" t="s">
        <v>35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tr">
        <f>IF(Table1[[#This Row],[YearsAtCompany]]&lt;1,"0-1",IF(Table1[[#This Row],[YearsAtCompany]]&lt;=3,"1-3",IF(Table1[[#This Row],[YearsAtCompany]]&lt;=6,"4-6","7+")))</f>
        <v>7+</v>
      </c>
      <c r="AH840">
        <f>Table1[[#This Row],[MonthlyIncome]]*12*0.75</f>
        <v>123822</v>
      </c>
      <c r="AI8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40">
        <f>IF(Table1[[#This Row],[Attrition]]="Yes",Table1[[#This Row],[EstReplacementCost]],0)</f>
        <v>123822</v>
      </c>
    </row>
    <row r="841" spans="1:36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>
        <v>5155</v>
      </c>
      <c r="S841">
        <v>2253</v>
      </c>
      <c r="T841">
        <v>7</v>
      </c>
      <c r="U841" t="s">
        <v>43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tr">
        <f>IF(Table1[[#This Row],[YearsAtCompany]]&lt;1,"0-1",IF(Table1[[#This Row],[YearsAtCompany]]&lt;=3,"1-3",IF(Table1[[#This Row],[YearsAtCompany]]&lt;=6,"4-6","7+")))</f>
        <v>4-6</v>
      </c>
      <c r="AH841">
        <f>Table1[[#This Row],[MonthlyIncome]]*12*0.75</f>
        <v>46395</v>
      </c>
      <c r="AI8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41">
        <f>IF(Table1[[#This Row],[Attrition]]="Yes",Table1[[#This Row],[EstReplacementCost]],0)</f>
        <v>0</v>
      </c>
    </row>
    <row r="842" spans="1:36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50</v>
      </c>
      <c r="P842">
        <v>3</v>
      </c>
      <c r="Q842" t="s">
        <v>48</v>
      </c>
      <c r="R842">
        <v>2258</v>
      </c>
      <c r="S842">
        <v>16340</v>
      </c>
      <c r="T842">
        <v>6</v>
      </c>
      <c r="U842" t="s">
        <v>43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tr">
        <f>IF(Table1[[#This Row],[YearsAtCompany]]&lt;1,"0-1",IF(Table1[[#This Row],[YearsAtCompany]]&lt;=3,"1-3",IF(Table1[[#This Row],[YearsAtCompany]]&lt;=6,"4-6","7+")))</f>
        <v>7+</v>
      </c>
      <c r="AH842">
        <f>Table1[[#This Row],[MonthlyIncome]]*12*0.75</f>
        <v>20322</v>
      </c>
      <c r="AI8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42">
        <f>IF(Table1[[#This Row],[Attrition]]="Yes",Table1[[#This Row],[EstReplacementCost]],0)</f>
        <v>0</v>
      </c>
    </row>
    <row r="843" spans="1:36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50</v>
      </c>
      <c r="P843">
        <v>2</v>
      </c>
      <c r="Q843" t="s">
        <v>41</v>
      </c>
      <c r="R843">
        <v>3597</v>
      </c>
      <c r="S843">
        <v>6409</v>
      </c>
      <c r="T843">
        <v>8</v>
      </c>
      <c r="U843" t="s">
        <v>43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tr">
        <f>IF(Table1[[#This Row],[YearsAtCompany]]&lt;1,"0-1",IF(Table1[[#This Row],[YearsAtCompany]]&lt;=3,"1-3",IF(Table1[[#This Row],[YearsAtCompany]]&lt;=6,"4-6","7+")))</f>
        <v>4-6</v>
      </c>
      <c r="AH843">
        <f>Table1[[#This Row],[MonthlyIncome]]*12*0.75</f>
        <v>32373</v>
      </c>
      <c r="AI8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43">
        <f>IF(Table1[[#This Row],[Attrition]]="Yes",Table1[[#This Row],[EstReplacementCost]],0)</f>
        <v>0</v>
      </c>
    </row>
    <row r="844" spans="1:36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50</v>
      </c>
      <c r="P844">
        <v>4</v>
      </c>
      <c r="Q844" t="s">
        <v>48</v>
      </c>
      <c r="R844">
        <v>2515</v>
      </c>
      <c r="S844">
        <v>22955</v>
      </c>
      <c r="T844">
        <v>1</v>
      </c>
      <c r="U844" t="s">
        <v>35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tr">
        <f>IF(Table1[[#This Row],[YearsAtCompany]]&lt;1,"0-1",IF(Table1[[#This Row],[YearsAtCompany]]&lt;=3,"1-3",IF(Table1[[#This Row],[YearsAtCompany]]&lt;=6,"4-6","7+")))</f>
        <v>1-3</v>
      </c>
      <c r="AH844">
        <f>Table1[[#This Row],[MonthlyIncome]]*12*0.75</f>
        <v>22635</v>
      </c>
      <c r="AI8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44">
        <f>IF(Table1[[#This Row],[Attrition]]="Yes",Table1[[#This Row],[EstReplacementCost]],0)</f>
        <v>22635</v>
      </c>
    </row>
    <row r="845" spans="1:36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50</v>
      </c>
      <c r="P845">
        <v>4</v>
      </c>
      <c r="Q845" t="s">
        <v>48</v>
      </c>
      <c r="R845">
        <v>4420</v>
      </c>
      <c r="S845">
        <v>13421</v>
      </c>
      <c r="T845">
        <v>1</v>
      </c>
      <c r="U845" t="s">
        <v>43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tr">
        <f>IF(Table1[[#This Row],[YearsAtCompany]]&lt;1,"0-1",IF(Table1[[#This Row],[YearsAtCompany]]&lt;=3,"1-3",IF(Table1[[#This Row],[YearsAtCompany]]&lt;=6,"4-6","7+")))</f>
        <v>7+</v>
      </c>
      <c r="AH845">
        <f>Table1[[#This Row],[MonthlyIncome]]*12*0.75</f>
        <v>39780</v>
      </c>
      <c r="AI8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45">
        <f>IF(Table1[[#This Row],[Attrition]]="Yes",Table1[[#This Row],[EstReplacementCost]],0)</f>
        <v>0</v>
      </c>
    </row>
    <row r="846" spans="1:36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48</v>
      </c>
      <c r="R846">
        <v>6578</v>
      </c>
      <c r="S846">
        <v>2706</v>
      </c>
      <c r="T846">
        <v>1</v>
      </c>
      <c r="U846" t="s">
        <v>43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tr">
        <f>IF(Table1[[#This Row],[YearsAtCompany]]&lt;1,"0-1",IF(Table1[[#This Row],[YearsAtCompany]]&lt;=3,"1-3",IF(Table1[[#This Row],[YearsAtCompany]]&lt;=6,"4-6","7+")))</f>
        <v>7+</v>
      </c>
      <c r="AH846">
        <f>Table1[[#This Row],[MonthlyIncome]]*12*0.75</f>
        <v>59202</v>
      </c>
      <c r="AI8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46">
        <f>IF(Table1[[#This Row],[Attrition]]="Yes",Table1[[#This Row],[EstReplacementCost]],0)</f>
        <v>0</v>
      </c>
    </row>
    <row r="847" spans="1:36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47</v>
      </c>
      <c r="P847">
        <v>4</v>
      </c>
      <c r="Q847" t="s">
        <v>48</v>
      </c>
      <c r="R847">
        <v>4422</v>
      </c>
      <c r="S847">
        <v>21203</v>
      </c>
      <c r="T847">
        <v>3</v>
      </c>
      <c r="U847" t="s">
        <v>35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tr">
        <f>IF(Table1[[#This Row],[YearsAtCompany]]&lt;1,"0-1",IF(Table1[[#This Row],[YearsAtCompany]]&lt;=3,"1-3",IF(Table1[[#This Row],[YearsAtCompany]]&lt;=6,"4-6","7+")))</f>
        <v>1-3</v>
      </c>
      <c r="AH847">
        <f>Table1[[#This Row],[MonthlyIncome]]*12*0.75</f>
        <v>39798</v>
      </c>
      <c r="AI8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47">
        <f>IF(Table1[[#This Row],[Attrition]]="Yes",Table1[[#This Row],[EstReplacementCost]],0)</f>
        <v>0</v>
      </c>
    </row>
    <row r="848" spans="1:36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53</v>
      </c>
      <c r="P848">
        <v>2</v>
      </c>
      <c r="Q848" t="s">
        <v>52</v>
      </c>
      <c r="R848">
        <v>10274</v>
      </c>
      <c r="S848">
        <v>19588</v>
      </c>
      <c r="T848">
        <v>2</v>
      </c>
      <c r="U848" t="s">
        <v>43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tr">
        <f>IF(Table1[[#This Row],[YearsAtCompany]]&lt;1,"0-1",IF(Table1[[#This Row],[YearsAtCompany]]&lt;=3,"1-3",IF(Table1[[#This Row],[YearsAtCompany]]&lt;=6,"4-6","7+")))</f>
        <v>7+</v>
      </c>
      <c r="AH848">
        <f>Table1[[#This Row],[MonthlyIncome]]*12*0.75</f>
        <v>92466</v>
      </c>
      <c r="AI8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48">
        <f>IF(Table1[[#This Row],[Attrition]]="Yes",Table1[[#This Row],[EstReplacementCost]],0)</f>
        <v>0</v>
      </c>
    </row>
    <row r="849" spans="1:36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54</v>
      </c>
      <c r="P849">
        <v>1</v>
      </c>
      <c r="Q849" t="s">
        <v>41</v>
      </c>
      <c r="R849">
        <v>5343</v>
      </c>
      <c r="S849">
        <v>25755</v>
      </c>
      <c r="T849">
        <v>0</v>
      </c>
      <c r="U849" t="s">
        <v>43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tr">
        <f>IF(Table1[[#This Row],[YearsAtCompany]]&lt;1,"0-1",IF(Table1[[#This Row],[YearsAtCompany]]&lt;=3,"1-3",IF(Table1[[#This Row],[YearsAtCompany]]&lt;=6,"4-6","7+")))</f>
        <v>7+</v>
      </c>
      <c r="AH849">
        <f>Table1[[#This Row],[MonthlyIncome]]*12*0.75</f>
        <v>48087</v>
      </c>
      <c r="AI8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49">
        <f>IF(Table1[[#This Row],[Attrition]]="Yes",Table1[[#This Row],[EstReplacementCost]],0)</f>
        <v>0</v>
      </c>
    </row>
    <row r="850" spans="1:36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50</v>
      </c>
      <c r="P850">
        <v>4</v>
      </c>
      <c r="Q850" t="s">
        <v>48</v>
      </c>
      <c r="R850">
        <v>2376</v>
      </c>
      <c r="S850">
        <v>26537</v>
      </c>
      <c r="T850">
        <v>1</v>
      </c>
      <c r="U850" t="s">
        <v>43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tr">
        <f>IF(Table1[[#This Row],[YearsAtCompany]]&lt;1,"0-1",IF(Table1[[#This Row],[YearsAtCompany]]&lt;=3,"1-3",IF(Table1[[#This Row],[YearsAtCompany]]&lt;=6,"4-6","7+")))</f>
        <v>1-3</v>
      </c>
      <c r="AH850">
        <f>Table1[[#This Row],[MonthlyIncome]]*12*0.75</f>
        <v>21384</v>
      </c>
      <c r="AI8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50">
        <f>IF(Table1[[#This Row],[Attrition]]="Yes",Table1[[#This Row],[EstReplacementCost]],0)</f>
        <v>0</v>
      </c>
    </row>
    <row r="851" spans="1:36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>
        <v>5346</v>
      </c>
      <c r="S851">
        <v>9489</v>
      </c>
      <c r="T851">
        <v>8</v>
      </c>
      <c r="U851" t="s">
        <v>43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tr">
        <f>IF(Table1[[#This Row],[YearsAtCompany]]&lt;1,"0-1",IF(Table1[[#This Row],[YearsAtCompany]]&lt;=3,"1-3",IF(Table1[[#This Row],[YearsAtCompany]]&lt;=6,"4-6","7+")))</f>
        <v>4-6</v>
      </c>
      <c r="AH851">
        <f>Table1[[#This Row],[MonthlyIncome]]*12*0.75</f>
        <v>48114</v>
      </c>
      <c r="AI8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51">
        <f>IF(Table1[[#This Row],[Attrition]]="Yes",Table1[[#This Row],[EstReplacementCost]],0)</f>
        <v>48114</v>
      </c>
    </row>
    <row r="852" spans="1:36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57</v>
      </c>
      <c r="P852">
        <v>1</v>
      </c>
      <c r="Q852" t="s">
        <v>52</v>
      </c>
      <c r="R852">
        <v>2827</v>
      </c>
      <c r="S852">
        <v>14947</v>
      </c>
      <c r="T852">
        <v>1</v>
      </c>
      <c r="U852" t="s">
        <v>43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tr">
        <f>IF(Table1[[#This Row],[YearsAtCompany]]&lt;1,"0-1",IF(Table1[[#This Row],[YearsAtCompany]]&lt;=3,"1-3",IF(Table1[[#This Row],[YearsAtCompany]]&lt;=6,"4-6","7+")))</f>
        <v>1-3</v>
      </c>
      <c r="AH852">
        <f>Table1[[#This Row],[MonthlyIncome]]*12*0.75</f>
        <v>25443</v>
      </c>
      <c r="AI8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52">
        <f>IF(Table1[[#This Row],[Attrition]]="Yes",Table1[[#This Row],[EstReplacementCost]],0)</f>
        <v>0</v>
      </c>
    </row>
    <row r="853" spans="1:36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56</v>
      </c>
      <c r="P853">
        <v>1</v>
      </c>
      <c r="Q853" t="s">
        <v>52</v>
      </c>
      <c r="R853">
        <v>19943</v>
      </c>
      <c r="S853">
        <v>18575</v>
      </c>
      <c r="T853">
        <v>4</v>
      </c>
      <c r="U853" t="s">
        <v>43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tr">
        <f>IF(Table1[[#This Row],[YearsAtCompany]]&lt;1,"0-1",IF(Table1[[#This Row],[YearsAtCompany]]&lt;=3,"1-3",IF(Table1[[#This Row],[YearsAtCompany]]&lt;=6,"4-6","7+")))</f>
        <v>4-6</v>
      </c>
      <c r="AH853">
        <f>Table1[[#This Row],[MonthlyIncome]]*12*0.75</f>
        <v>179487</v>
      </c>
      <c r="AI8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53">
        <f>IF(Table1[[#This Row],[Attrition]]="Yes",Table1[[#This Row],[EstReplacementCost]],0)</f>
        <v>0</v>
      </c>
    </row>
    <row r="854" spans="1:36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50</v>
      </c>
      <c r="P854">
        <v>4</v>
      </c>
      <c r="Q854" t="s">
        <v>48</v>
      </c>
      <c r="R854">
        <v>3131</v>
      </c>
      <c r="S854">
        <v>26342</v>
      </c>
      <c r="T854">
        <v>1</v>
      </c>
      <c r="U854" t="s">
        <v>43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tr">
        <f>IF(Table1[[#This Row],[YearsAtCompany]]&lt;1,"0-1",IF(Table1[[#This Row],[YearsAtCompany]]&lt;=3,"1-3",IF(Table1[[#This Row],[YearsAtCompany]]&lt;=6,"4-6","7+")))</f>
        <v>7+</v>
      </c>
      <c r="AH854">
        <f>Table1[[#This Row],[MonthlyIncome]]*12*0.75</f>
        <v>28179</v>
      </c>
      <c r="AI8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54">
        <f>IF(Table1[[#This Row],[Attrition]]="Yes",Table1[[#This Row],[EstReplacementCost]],0)</f>
        <v>0</v>
      </c>
    </row>
    <row r="855" spans="1:36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47</v>
      </c>
      <c r="P855">
        <v>1</v>
      </c>
      <c r="Q855" t="s">
        <v>41</v>
      </c>
      <c r="R855">
        <v>2552</v>
      </c>
      <c r="S855">
        <v>7172</v>
      </c>
      <c r="T855">
        <v>1</v>
      </c>
      <c r="U855" t="s">
        <v>43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tr">
        <f>IF(Table1[[#This Row],[YearsAtCompany]]&lt;1,"0-1",IF(Table1[[#This Row],[YearsAtCompany]]&lt;=3,"1-3",IF(Table1[[#This Row],[YearsAtCompany]]&lt;=6,"4-6","7+")))</f>
        <v>1-3</v>
      </c>
      <c r="AH855">
        <f>Table1[[#This Row],[MonthlyIncome]]*12*0.75</f>
        <v>22968</v>
      </c>
      <c r="AI8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55">
        <f>IF(Table1[[#This Row],[Attrition]]="Yes",Table1[[#This Row],[EstReplacementCost]],0)</f>
        <v>0</v>
      </c>
    </row>
    <row r="856" spans="1:36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47</v>
      </c>
      <c r="P856">
        <v>3</v>
      </c>
      <c r="Q856" t="s">
        <v>48</v>
      </c>
      <c r="R856">
        <v>4477</v>
      </c>
      <c r="S856">
        <v>20100</v>
      </c>
      <c r="T856">
        <v>4</v>
      </c>
      <c r="U856" t="s">
        <v>35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tr">
        <f>IF(Table1[[#This Row],[YearsAtCompany]]&lt;1,"0-1",IF(Table1[[#This Row],[YearsAtCompany]]&lt;=3,"1-3",IF(Table1[[#This Row],[YearsAtCompany]]&lt;=6,"4-6","7+")))</f>
        <v>1-3</v>
      </c>
      <c r="AH856">
        <f>Table1[[#This Row],[MonthlyIncome]]*12*0.75</f>
        <v>40293</v>
      </c>
      <c r="AI8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56">
        <f>IF(Table1[[#This Row],[Attrition]]="Yes",Table1[[#This Row],[EstReplacementCost]],0)</f>
        <v>0</v>
      </c>
    </row>
    <row r="857" spans="1:36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53</v>
      </c>
      <c r="P857">
        <v>4</v>
      </c>
      <c r="Q857" t="s">
        <v>48</v>
      </c>
      <c r="R857">
        <v>6474</v>
      </c>
      <c r="S857">
        <v>9961</v>
      </c>
      <c r="T857">
        <v>1</v>
      </c>
      <c r="U857" t="s">
        <v>43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tr">
        <f>IF(Table1[[#This Row],[YearsAtCompany]]&lt;1,"0-1",IF(Table1[[#This Row],[YearsAtCompany]]&lt;=3,"1-3",IF(Table1[[#This Row],[YearsAtCompany]]&lt;=6,"4-6","7+")))</f>
        <v>7+</v>
      </c>
      <c r="AH857">
        <f>Table1[[#This Row],[MonthlyIncome]]*12*0.75</f>
        <v>58266</v>
      </c>
      <c r="AI8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57">
        <f>IF(Table1[[#This Row],[Attrition]]="Yes",Table1[[#This Row],[EstReplacementCost]],0)</f>
        <v>0</v>
      </c>
    </row>
    <row r="858" spans="1:36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50</v>
      </c>
      <c r="P858">
        <v>3</v>
      </c>
      <c r="Q858" t="s">
        <v>41</v>
      </c>
      <c r="R858">
        <v>3033</v>
      </c>
      <c r="S858">
        <v>12828</v>
      </c>
      <c r="T858">
        <v>1</v>
      </c>
      <c r="U858" t="s">
        <v>43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tr">
        <f>IF(Table1[[#This Row],[YearsAtCompany]]&lt;1,"0-1",IF(Table1[[#This Row],[YearsAtCompany]]&lt;=3,"1-3",IF(Table1[[#This Row],[YearsAtCompany]]&lt;=6,"4-6","7+")))</f>
        <v>1-3</v>
      </c>
      <c r="AH858">
        <f>Table1[[#This Row],[MonthlyIncome]]*12*0.75</f>
        <v>27297</v>
      </c>
      <c r="AI8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58">
        <f>IF(Table1[[#This Row],[Attrition]]="Yes",Table1[[#This Row],[EstReplacementCost]],0)</f>
        <v>0</v>
      </c>
    </row>
    <row r="859" spans="1:36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47</v>
      </c>
      <c r="P859">
        <v>3</v>
      </c>
      <c r="Q859" t="s">
        <v>41</v>
      </c>
      <c r="R859">
        <v>2936</v>
      </c>
      <c r="S859">
        <v>10826</v>
      </c>
      <c r="T859">
        <v>1</v>
      </c>
      <c r="U859" t="s">
        <v>35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tr">
        <f>IF(Table1[[#This Row],[YearsAtCompany]]&lt;1,"0-1",IF(Table1[[#This Row],[YearsAtCompany]]&lt;=3,"1-3",IF(Table1[[#This Row],[YearsAtCompany]]&lt;=6,"4-6","7+")))</f>
        <v>4-6</v>
      </c>
      <c r="AH859">
        <f>Table1[[#This Row],[MonthlyIncome]]*12*0.75</f>
        <v>26424</v>
      </c>
      <c r="AI8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59">
        <f>IF(Table1[[#This Row],[Attrition]]="Yes",Table1[[#This Row],[EstReplacementCost]],0)</f>
        <v>26424</v>
      </c>
    </row>
    <row r="860" spans="1:36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56</v>
      </c>
      <c r="P860">
        <v>3</v>
      </c>
      <c r="Q860" t="s">
        <v>52</v>
      </c>
      <c r="R860">
        <v>18606</v>
      </c>
      <c r="S860">
        <v>18640</v>
      </c>
      <c r="T860">
        <v>3</v>
      </c>
      <c r="U860" t="s">
        <v>43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tr">
        <f>IF(Table1[[#This Row],[YearsAtCompany]]&lt;1,"0-1",IF(Table1[[#This Row],[YearsAtCompany]]&lt;=3,"1-3",IF(Table1[[#This Row],[YearsAtCompany]]&lt;=6,"4-6","7+")))</f>
        <v>7+</v>
      </c>
      <c r="AH860">
        <f>Table1[[#This Row],[MonthlyIncome]]*12*0.75</f>
        <v>167454</v>
      </c>
      <c r="AI8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60">
        <f>IF(Table1[[#This Row],[Attrition]]="Yes",Table1[[#This Row],[EstReplacementCost]],0)</f>
        <v>0</v>
      </c>
    </row>
    <row r="861" spans="1:36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47</v>
      </c>
      <c r="P861">
        <v>4</v>
      </c>
      <c r="Q861" t="s">
        <v>48</v>
      </c>
      <c r="R861">
        <v>2168</v>
      </c>
      <c r="S861">
        <v>26933</v>
      </c>
      <c r="T861">
        <v>0</v>
      </c>
      <c r="U861" t="s">
        <v>35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tr">
        <f>IF(Table1[[#This Row],[YearsAtCompany]]&lt;1,"0-1",IF(Table1[[#This Row],[YearsAtCompany]]&lt;=3,"1-3",IF(Table1[[#This Row],[YearsAtCompany]]&lt;=6,"4-6","7+")))</f>
        <v>4-6</v>
      </c>
      <c r="AH861">
        <f>Table1[[#This Row],[MonthlyIncome]]*12*0.75</f>
        <v>19512</v>
      </c>
      <c r="AI8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61">
        <f>IF(Table1[[#This Row],[Attrition]]="Yes",Table1[[#This Row],[EstReplacementCost]],0)</f>
        <v>0</v>
      </c>
    </row>
    <row r="862" spans="1:36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47</v>
      </c>
      <c r="P862">
        <v>4</v>
      </c>
      <c r="Q862" t="s">
        <v>48</v>
      </c>
      <c r="R862">
        <v>2853</v>
      </c>
      <c r="S862">
        <v>4223</v>
      </c>
      <c r="T862">
        <v>0</v>
      </c>
      <c r="U862" t="s">
        <v>35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tr">
        <f>IF(Table1[[#This Row],[YearsAtCompany]]&lt;1,"0-1",IF(Table1[[#This Row],[YearsAtCompany]]&lt;=3,"1-3",IF(Table1[[#This Row],[YearsAtCompany]]&lt;=6,"4-6","7+")))</f>
        <v>0-1</v>
      </c>
      <c r="AH862">
        <f>Table1[[#This Row],[MonthlyIncome]]*12*0.75</f>
        <v>25677</v>
      </c>
      <c r="AI8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62">
        <f>IF(Table1[[#This Row],[Attrition]]="Yes",Table1[[#This Row],[EstReplacementCost]],0)</f>
        <v>25677</v>
      </c>
    </row>
    <row r="863" spans="1:36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56</v>
      </c>
      <c r="P863">
        <v>1</v>
      </c>
      <c r="Q863" t="s">
        <v>48</v>
      </c>
      <c r="R863">
        <v>17048</v>
      </c>
      <c r="S863">
        <v>24097</v>
      </c>
      <c r="T863">
        <v>8</v>
      </c>
      <c r="U863" t="s">
        <v>43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tr">
        <f>IF(Table1[[#This Row],[YearsAtCompany]]&lt;1,"0-1",IF(Table1[[#This Row],[YearsAtCompany]]&lt;=3,"1-3",IF(Table1[[#This Row],[YearsAtCompany]]&lt;=6,"4-6","7+")))</f>
        <v>7+</v>
      </c>
      <c r="AH863">
        <f>Table1[[#This Row],[MonthlyIncome]]*12*0.75</f>
        <v>153432</v>
      </c>
      <c r="AI8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63">
        <f>IF(Table1[[#This Row],[Attrition]]="Yes",Table1[[#This Row],[EstReplacementCost]],0)</f>
        <v>0</v>
      </c>
    </row>
    <row r="864" spans="1:36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47</v>
      </c>
      <c r="P864">
        <v>3</v>
      </c>
      <c r="Q864" t="s">
        <v>41</v>
      </c>
      <c r="R864">
        <v>2290</v>
      </c>
      <c r="S864">
        <v>4279</v>
      </c>
      <c r="T864">
        <v>2</v>
      </c>
      <c r="U864" t="s">
        <v>43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tr">
        <f>IF(Table1[[#This Row],[YearsAtCompany]]&lt;1,"0-1",IF(Table1[[#This Row],[YearsAtCompany]]&lt;=3,"1-3",IF(Table1[[#This Row],[YearsAtCompany]]&lt;=6,"4-6","7+")))</f>
        <v>0-1</v>
      </c>
      <c r="AH864">
        <f>Table1[[#This Row],[MonthlyIncome]]*12*0.75</f>
        <v>20610</v>
      </c>
      <c r="AI8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64">
        <f>IF(Table1[[#This Row],[Attrition]]="Yes",Table1[[#This Row],[EstReplacementCost]],0)</f>
        <v>0</v>
      </c>
    </row>
    <row r="865" spans="1:36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61</v>
      </c>
      <c r="P865">
        <v>3</v>
      </c>
      <c r="Q865" t="s">
        <v>48</v>
      </c>
      <c r="R865">
        <v>3600</v>
      </c>
      <c r="S865">
        <v>8429</v>
      </c>
      <c r="T865">
        <v>1</v>
      </c>
      <c r="U865" t="s">
        <v>43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tr">
        <f>IF(Table1[[#This Row],[YearsAtCompany]]&lt;1,"0-1",IF(Table1[[#This Row],[YearsAtCompany]]&lt;=3,"1-3",IF(Table1[[#This Row],[YearsAtCompany]]&lt;=6,"4-6","7+")))</f>
        <v>4-6</v>
      </c>
      <c r="AH865">
        <f>Table1[[#This Row],[MonthlyIncome]]*12*0.75</f>
        <v>32400</v>
      </c>
      <c r="AI8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65">
        <f>IF(Table1[[#This Row],[Attrition]]="Yes",Table1[[#This Row],[EstReplacementCost]],0)</f>
        <v>0</v>
      </c>
    </row>
    <row r="866" spans="1:36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47</v>
      </c>
      <c r="P866">
        <v>1</v>
      </c>
      <c r="Q866" t="s">
        <v>52</v>
      </c>
      <c r="R866">
        <v>2107</v>
      </c>
      <c r="S866">
        <v>20293</v>
      </c>
      <c r="T866">
        <v>6</v>
      </c>
      <c r="U866" t="s">
        <v>43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tr">
        <f>IF(Table1[[#This Row],[YearsAtCompany]]&lt;1,"0-1",IF(Table1[[#This Row],[YearsAtCompany]]&lt;=3,"1-3",IF(Table1[[#This Row],[YearsAtCompany]]&lt;=6,"4-6","7+")))</f>
        <v>1-3</v>
      </c>
      <c r="AH866">
        <f>Table1[[#This Row],[MonthlyIncome]]*12*0.75</f>
        <v>18963</v>
      </c>
      <c r="AI8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66">
        <f>IF(Table1[[#This Row],[Attrition]]="Yes",Table1[[#This Row],[EstReplacementCost]],0)</f>
        <v>18963</v>
      </c>
    </row>
    <row r="867" spans="1:36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52</v>
      </c>
      <c r="R867">
        <v>4115</v>
      </c>
      <c r="S867">
        <v>13192</v>
      </c>
      <c r="T867">
        <v>8</v>
      </c>
      <c r="U867" t="s">
        <v>43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tr">
        <f>IF(Table1[[#This Row],[YearsAtCompany]]&lt;1,"0-1",IF(Table1[[#This Row],[YearsAtCompany]]&lt;=3,"1-3",IF(Table1[[#This Row],[YearsAtCompany]]&lt;=6,"4-6","7+")))</f>
        <v>4-6</v>
      </c>
      <c r="AH867">
        <f>Table1[[#This Row],[MonthlyIncome]]*12*0.75</f>
        <v>37035</v>
      </c>
      <c r="AI8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67">
        <f>IF(Table1[[#This Row],[Attrition]]="Yes",Table1[[#This Row],[EstReplacementCost]],0)</f>
        <v>0</v>
      </c>
    </row>
    <row r="868" spans="1:36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48</v>
      </c>
      <c r="R868">
        <v>4327</v>
      </c>
      <c r="S868">
        <v>25440</v>
      </c>
      <c r="T868">
        <v>5</v>
      </c>
      <c r="U868" t="s">
        <v>43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tr">
        <f>IF(Table1[[#This Row],[YearsAtCompany]]&lt;1,"0-1",IF(Table1[[#This Row],[YearsAtCompany]]&lt;=3,"1-3",IF(Table1[[#This Row],[YearsAtCompany]]&lt;=6,"4-6","7+")))</f>
        <v>0-1</v>
      </c>
      <c r="AH868">
        <f>Table1[[#This Row],[MonthlyIncome]]*12*0.75</f>
        <v>38943</v>
      </c>
      <c r="AI8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68">
        <f>IF(Table1[[#This Row],[Attrition]]="Yes",Table1[[#This Row],[EstReplacementCost]],0)</f>
        <v>0</v>
      </c>
    </row>
    <row r="869" spans="1:36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56</v>
      </c>
      <c r="P869">
        <v>1</v>
      </c>
      <c r="Q869" t="s">
        <v>48</v>
      </c>
      <c r="R869">
        <v>17856</v>
      </c>
      <c r="S869">
        <v>9490</v>
      </c>
      <c r="T869">
        <v>2</v>
      </c>
      <c r="U869" t="s">
        <v>43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>
        <f>IF(Table1[[#This Row],[YearsAtCompany]]&lt;1,"0-1",IF(Table1[[#This Row],[YearsAtCompany]]&lt;=3,"1-3",IF(Table1[[#This Row],[YearsAtCompany]]&lt;=6,"4-6","7+")))</f>
        <v>1-3</v>
      </c>
      <c r="AH869">
        <f>Table1[[#This Row],[MonthlyIncome]]*12*0.75</f>
        <v>160704</v>
      </c>
      <c r="AI8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69">
        <f>IF(Table1[[#This Row],[Attrition]]="Yes",Table1[[#This Row],[EstReplacementCost]],0)</f>
        <v>0</v>
      </c>
    </row>
    <row r="870" spans="1:36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50</v>
      </c>
      <c r="P870">
        <v>1</v>
      </c>
      <c r="Q870" t="s">
        <v>48</v>
      </c>
      <c r="R870">
        <v>3196</v>
      </c>
      <c r="S870">
        <v>12449</v>
      </c>
      <c r="T870">
        <v>1</v>
      </c>
      <c r="U870" t="s">
        <v>43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tr">
        <f>IF(Table1[[#This Row],[YearsAtCompany]]&lt;1,"0-1",IF(Table1[[#This Row],[YearsAtCompany]]&lt;=3,"1-3",IF(Table1[[#This Row],[YearsAtCompany]]&lt;=6,"4-6","7+")))</f>
        <v>4-6</v>
      </c>
      <c r="AH870">
        <f>Table1[[#This Row],[MonthlyIncome]]*12*0.75</f>
        <v>28764</v>
      </c>
      <c r="AI8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70">
        <f>IF(Table1[[#This Row],[Attrition]]="Yes",Table1[[#This Row],[EstReplacementCost]],0)</f>
        <v>0</v>
      </c>
    </row>
    <row r="871" spans="1:36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58</v>
      </c>
      <c r="P871">
        <v>2</v>
      </c>
      <c r="Q871" t="s">
        <v>48</v>
      </c>
      <c r="R871">
        <v>19081</v>
      </c>
      <c r="S871">
        <v>10849</v>
      </c>
      <c r="T871">
        <v>5</v>
      </c>
      <c r="U871" t="s">
        <v>43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tr">
        <f>IF(Table1[[#This Row],[YearsAtCompany]]&lt;1,"0-1",IF(Table1[[#This Row],[YearsAtCompany]]&lt;=3,"1-3",IF(Table1[[#This Row],[YearsAtCompany]]&lt;=6,"4-6","7+")))</f>
        <v>4-6</v>
      </c>
      <c r="AH871">
        <f>Table1[[#This Row],[MonthlyIncome]]*12*0.75</f>
        <v>171729</v>
      </c>
      <c r="AI8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71">
        <f>IF(Table1[[#This Row],[Attrition]]="Yes",Table1[[#This Row],[EstReplacementCost]],0)</f>
        <v>0</v>
      </c>
    </row>
    <row r="872" spans="1:36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48</v>
      </c>
      <c r="R872">
        <v>8966</v>
      </c>
      <c r="S872">
        <v>21026</v>
      </c>
      <c r="T872">
        <v>3</v>
      </c>
      <c r="U872" t="s">
        <v>35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tr">
        <f>IF(Table1[[#This Row],[YearsAtCompany]]&lt;1,"0-1",IF(Table1[[#This Row],[YearsAtCompany]]&lt;=3,"1-3",IF(Table1[[#This Row],[YearsAtCompany]]&lt;=6,"4-6","7+")))</f>
        <v>7+</v>
      </c>
      <c r="AH872">
        <f>Table1[[#This Row],[MonthlyIncome]]*12*0.75</f>
        <v>80694</v>
      </c>
      <c r="AI8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72">
        <f>IF(Table1[[#This Row],[Attrition]]="Yes",Table1[[#This Row],[EstReplacementCost]],0)</f>
        <v>0</v>
      </c>
    </row>
    <row r="873" spans="1:36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50</v>
      </c>
      <c r="P873">
        <v>2</v>
      </c>
      <c r="Q873" t="s">
        <v>48</v>
      </c>
      <c r="R873">
        <v>2210</v>
      </c>
      <c r="S873">
        <v>3372</v>
      </c>
      <c r="T873">
        <v>1</v>
      </c>
      <c r="U873" t="s">
        <v>43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tr">
        <f>IF(Table1[[#This Row],[YearsAtCompany]]&lt;1,"0-1",IF(Table1[[#This Row],[YearsAtCompany]]&lt;=3,"1-3",IF(Table1[[#This Row],[YearsAtCompany]]&lt;=6,"4-6","7+")))</f>
        <v>1-3</v>
      </c>
      <c r="AH873">
        <f>Table1[[#This Row],[MonthlyIncome]]*12*0.75</f>
        <v>19890</v>
      </c>
      <c r="AI8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73">
        <f>IF(Table1[[#This Row],[Attrition]]="Yes",Table1[[#This Row],[EstReplacementCost]],0)</f>
        <v>19890</v>
      </c>
    </row>
    <row r="874" spans="1:36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48</v>
      </c>
      <c r="R874">
        <v>4539</v>
      </c>
      <c r="S874">
        <v>4905</v>
      </c>
      <c r="T874">
        <v>1</v>
      </c>
      <c r="U874" t="s">
        <v>43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tr">
        <f>IF(Table1[[#This Row],[YearsAtCompany]]&lt;1,"0-1",IF(Table1[[#This Row],[YearsAtCompany]]&lt;=3,"1-3",IF(Table1[[#This Row],[YearsAtCompany]]&lt;=6,"4-6","7+")))</f>
        <v>7+</v>
      </c>
      <c r="AH874">
        <f>Table1[[#This Row],[MonthlyIncome]]*12*0.75</f>
        <v>40851</v>
      </c>
      <c r="AI8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74">
        <f>IF(Table1[[#This Row],[Attrition]]="Yes",Table1[[#This Row],[EstReplacementCost]],0)</f>
        <v>0</v>
      </c>
    </row>
    <row r="875" spans="1:36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50</v>
      </c>
      <c r="P875">
        <v>3</v>
      </c>
      <c r="Q875" t="s">
        <v>52</v>
      </c>
      <c r="R875">
        <v>2741</v>
      </c>
      <c r="S875">
        <v>6865</v>
      </c>
      <c r="T875">
        <v>1</v>
      </c>
      <c r="U875" t="s">
        <v>43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tr">
        <f>IF(Table1[[#This Row],[YearsAtCompany]]&lt;1,"0-1",IF(Table1[[#This Row],[YearsAtCompany]]&lt;=3,"1-3",IF(Table1[[#This Row],[YearsAtCompany]]&lt;=6,"4-6","7+")))</f>
        <v>7+</v>
      </c>
      <c r="AH875">
        <f>Table1[[#This Row],[MonthlyIncome]]*12*0.75</f>
        <v>24669</v>
      </c>
      <c r="AI8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75">
        <f>IF(Table1[[#This Row],[Attrition]]="Yes",Table1[[#This Row],[EstReplacementCost]],0)</f>
        <v>0</v>
      </c>
    </row>
    <row r="876" spans="1:36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50</v>
      </c>
      <c r="P876">
        <v>3</v>
      </c>
      <c r="Q876" t="s">
        <v>52</v>
      </c>
      <c r="R876">
        <v>3491</v>
      </c>
      <c r="S876">
        <v>11309</v>
      </c>
      <c r="T876">
        <v>1</v>
      </c>
      <c r="U876" t="s">
        <v>43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tr">
        <f>IF(Table1[[#This Row],[YearsAtCompany]]&lt;1,"0-1",IF(Table1[[#This Row],[YearsAtCompany]]&lt;=3,"1-3",IF(Table1[[#This Row],[YearsAtCompany]]&lt;=6,"4-6","7+")))</f>
        <v>7+</v>
      </c>
      <c r="AH876">
        <f>Table1[[#This Row],[MonthlyIncome]]*12*0.75</f>
        <v>31419</v>
      </c>
      <c r="AI8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76">
        <f>IF(Table1[[#This Row],[Attrition]]="Yes",Table1[[#This Row],[EstReplacementCost]],0)</f>
        <v>0</v>
      </c>
    </row>
    <row r="877" spans="1:36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47</v>
      </c>
      <c r="P877">
        <v>4</v>
      </c>
      <c r="Q877" t="s">
        <v>41</v>
      </c>
      <c r="R877">
        <v>4541</v>
      </c>
      <c r="S877">
        <v>7744</v>
      </c>
      <c r="T877">
        <v>1</v>
      </c>
      <c r="U877" t="s">
        <v>43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tr">
        <f>IF(Table1[[#This Row],[YearsAtCompany]]&lt;1,"0-1",IF(Table1[[#This Row],[YearsAtCompany]]&lt;=3,"1-3",IF(Table1[[#This Row],[YearsAtCompany]]&lt;=6,"4-6","7+")))</f>
        <v>7+</v>
      </c>
      <c r="AH877">
        <f>Table1[[#This Row],[MonthlyIncome]]*12*0.75</f>
        <v>40869</v>
      </c>
      <c r="AI8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77">
        <f>IF(Table1[[#This Row],[Attrition]]="Yes",Table1[[#This Row],[EstReplacementCost]],0)</f>
        <v>0</v>
      </c>
    </row>
    <row r="878" spans="1:36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57</v>
      </c>
      <c r="P878">
        <v>4</v>
      </c>
      <c r="Q878" t="s">
        <v>41</v>
      </c>
      <c r="R878">
        <v>2678</v>
      </c>
      <c r="S878">
        <v>5050</v>
      </c>
      <c r="T878">
        <v>1</v>
      </c>
      <c r="U878" t="s">
        <v>43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tr">
        <f>IF(Table1[[#This Row],[YearsAtCompany]]&lt;1,"0-1",IF(Table1[[#This Row],[YearsAtCompany]]&lt;=3,"1-3",IF(Table1[[#This Row],[YearsAtCompany]]&lt;=6,"4-6","7+")))</f>
        <v>1-3</v>
      </c>
      <c r="AH878">
        <f>Table1[[#This Row],[MonthlyIncome]]*12*0.75</f>
        <v>24102</v>
      </c>
      <c r="AI8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78">
        <f>IF(Table1[[#This Row],[Attrition]]="Yes",Table1[[#This Row],[EstReplacementCost]],0)</f>
        <v>0</v>
      </c>
    </row>
    <row r="879" spans="1:36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53</v>
      </c>
      <c r="P879">
        <v>4</v>
      </c>
      <c r="Q879" t="s">
        <v>52</v>
      </c>
      <c r="R879">
        <v>7379</v>
      </c>
      <c r="S879">
        <v>17433</v>
      </c>
      <c r="T879">
        <v>2</v>
      </c>
      <c r="U879" t="s">
        <v>43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tr">
        <f>IF(Table1[[#This Row],[YearsAtCompany]]&lt;1,"0-1",IF(Table1[[#This Row],[YearsAtCompany]]&lt;=3,"1-3",IF(Table1[[#This Row],[YearsAtCompany]]&lt;=6,"4-6","7+")))</f>
        <v>4-6</v>
      </c>
      <c r="AH879">
        <f>Table1[[#This Row],[MonthlyIncome]]*12*0.75</f>
        <v>66411</v>
      </c>
      <c r="AI8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79">
        <f>IF(Table1[[#This Row],[Attrition]]="Yes",Table1[[#This Row],[EstReplacementCost]],0)</f>
        <v>0</v>
      </c>
    </row>
    <row r="880" spans="1:36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61</v>
      </c>
      <c r="P880">
        <v>1</v>
      </c>
      <c r="Q880" t="s">
        <v>48</v>
      </c>
      <c r="R880">
        <v>6272</v>
      </c>
      <c r="S880">
        <v>12858</v>
      </c>
      <c r="T880">
        <v>7</v>
      </c>
      <c r="U880" t="s">
        <v>43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tr">
        <f>IF(Table1[[#This Row],[YearsAtCompany]]&lt;1,"0-1",IF(Table1[[#This Row],[YearsAtCompany]]&lt;=3,"1-3",IF(Table1[[#This Row],[YearsAtCompany]]&lt;=6,"4-6","7+")))</f>
        <v>4-6</v>
      </c>
      <c r="AH880">
        <f>Table1[[#This Row],[MonthlyIncome]]*12*0.75</f>
        <v>56448</v>
      </c>
      <c r="AI8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80">
        <f>IF(Table1[[#This Row],[Attrition]]="Yes",Table1[[#This Row],[EstReplacementCost]],0)</f>
        <v>0</v>
      </c>
    </row>
    <row r="881" spans="1:36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52</v>
      </c>
      <c r="R881">
        <v>5220</v>
      </c>
      <c r="S881">
        <v>10893</v>
      </c>
      <c r="T881">
        <v>0</v>
      </c>
      <c r="U881" t="s">
        <v>35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tr">
        <f>IF(Table1[[#This Row],[YearsAtCompany]]&lt;1,"0-1",IF(Table1[[#This Row],[YearsAtCompany]]&lt;=3,"1-3",IF(Table1[[#This Row],[YearsAtCompany]]&lt;=6,"4-6","7+")))</f>
        <v>7+</v>
      </c>
      <c r="AH881">
        <f>Table1[[#This Row],[MonthlyIncome]]*12*0.75</f>
        <v>46980</v>
      </c>
      <c r="AI8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81">
        <f>IF(Table1[[#This Row],[Attrition]]="Yes",Table1[[#This Row],[EstReplacementCost]],0)</f>
        <v>0</v>
      </c>
    </row>
    <row r="882" spans="1:36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50</v>
      </c>
      <c r="P882">
        <v>2</v>
      </c>
      <c r="Q882" t="s">
        <v>48</v>
      </c>
      <c r="R882">
        <v>2743</v>
      </c>
      <c r="S882">
        <v>7331</v>
      </c>
      <c r="T882">
        <v>1</v>
      </c>
      <c r="U882" t="s">
        <v>43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>
        <f>IF(Table1[[#This Row],[YearsAtCompany]]&lt;1,"0-1",IF(Table1[[#This Row],[YearsAtCompany]]&lt;=3,"1-3",IF(Table1[[#This Row],[YearsAtCompany]]&lt;=6,"4-6","7+")))</f>
        <v>1-3</v>
      </c>
      <c r="AH882">
        <f>Table1[[#This Row],[MonthlyIncome]]*12*0.75</f>
        <v>24687</v>
      </c>
      <c r="AI8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82">
        <f>IF(Table1[[#This Row],[Attrition]]="Yes",Table1[[#This Row],[EstReplacementCost]],0)</f>
        <v>0</v>
      </c>
    </row>
    <row r="883" spans="1:36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47</v>
      </c>
      <c r="P883">
        <v>3</v>
      </c>
      <c r="Q883" t="s">
        <v>41</v>
      </c>
      <c r="R883">
        <v>4998</v>
      </c>
      <c r="S883">
        <v>2338</v>
      </c>
      <c r="T883">
        <v>4</v>
      </c>
      <c r="U883" t="s">
        <v>35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tr">
        <f>IF(Table1[[#This Row],[YearsAtCompany]]&lt;1,"0-1",IF(Table1[[#This Row],[YearsAtCompany]]&lt;=3,"1-3",IF(Table1[[#This Row],[YearsAtCompany]]&lt;=6,"4-6","7+")))</f>
        <v>7+</v>
      </c>
      <c r="AH883">
        <f>Table1[[#This Row],[MonthlyIncome]]*12*0.75</f>
        <v>44982</v>
      </c>
      <c r="AI8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83">
        <f>IF(Table1[[#This Row],[Attrition]]="Yes",Table1[[#This Row],[EstReplacementCost]],0)</f>
        <v>0</v>
      </c>
    </row>
    <row r="884" spans="1:36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53</v>
      </c>
      <c r="P884">
        <v>1</v>
      </c>
      <c r="Q884" t="s">
        <v>52</v>
      </c>
      <c r="R884">
        <v>10252</v>
      </c>
      <c r="S884">
        <v>4235</v>
      </c>
      <c r="T884">
        <v>2</v>
      </c>
      <c r="U884" t="s">
        <v>35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tr">
        <f>IF(Table1[[#This Row],[YearsAtCompany]]&lt;1,"0-1",IF(Table1[[#This Row],[YearsAtCompany]]&lt;=3,"1-3",IF(Table1[[#This Row],[YearsAtCompany]]&lt;=6,"4-6","7+")))</f>
        <v>7+</v>
      </c>
      <c r="AH884">
        <f>Table1[[#This Row],[MonthlyIncome]]*12*0.75</f>
        <v>92268</v>
      </c>
      <c r="AI8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84">
        <f>IF(Table1[[#This Row],[Attrition]]="Yes",Table1[[#This Row],[EstReplacementCost]],0)</f>
        <v>0</v>
      </c>
    </row>
    <row r="885" spans="1:36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47</v>
      </c>
      <c r="P885">
        <v>4</v>
      </c>
      <c r="Q885" t="s">
        <v>48</v>
      </c>
      <c r="R885">
        <v>2781</v>
      </c>
      <c r="S885">
        <v>6311</v>
      </c>
      <c r="T885">
        <v>0</v>
      </c>
      <c r="U885" t="s">
        <v>43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tr">
        <f>IF(Table1[[#This Row],[YearsAtCompany]]&lt;1,"0-1",IF(Table1[[#This Row],[YearsAtCompany]]&lt;=3,"1-3",IF(Table1[[#This Row],[YearsAtCompany]]&lt;=6,"4-6","7+")))</f>
        <v>7+</v>
      </c>
      <c r="AH885">
        <f>Table1[[#This Row],[MonthlyIncome]]*12*0.75</f>
        <v>25029</v>
      </c>
      <c r="AI8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85">
        <f>IF(Table1[[#This Row],[Attrition]]="Yes",Table1[[#This Row],[EstReplacementCost]],0)</f>
        <v>0</v>
      </c>
    </row>
    <row r="886" spans="1:36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52</v>
      </c>
      <c r="R886">
        <v>6852</v>
      </c>
      <c r="S886">
        <v>11591</v>
      </c>
      <c r="T886">
        <v>7</v>
      </c>
      <c r="U886" t="s">
        <v>43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tr">
        <f>IF(Table1[[#This Row],[YearsAtCompany]]&lt;1,"0-1",IF(Table1[[#This Row],[YearsAtCompany]]&lt;=3,"1-3",IF(Table1[[#This Row],[YearsAtCompany]]&lt;=6,"4-6","7+")))</f>
        <v>4-6</v>
      </c>
      <c r="AH886">
        <f>Table1[[#This Row],[MonthlyIncome]]*12*0.75</f>
        <v>61668</v>
      </c>
      <c r="AI8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86">
        <f>IF(Table1[[#This Row],[Attrition]]="Yes",Table1[[#This Row],[EstReplacementCost]],0)</f>
        <v>0</v>
      </c>
    </row>
    <row r="887" spans="1:36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>
        <v>4950</v>
      </c>
      <c r="S887">
        <v>20623</v>
      </c>
      <c r="T887">
        <v>0</v>
      </c>
      <c r="U887" t="s">
        <v>43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tr">
        <f>IF(Table1[[#This Row],[YearsAtCompany]]&lt;1,"0-1",IF(Table1[[#This Row],[YearsAtCompany]]&lt;=3,"1-3",IF(Table1[[#This Row],[YearsAtCompany]]&lt;=6,"4-6","7+")))</f>
        <v>4-6</v>
      </c>
      <c r="AH887">
        <f>Table1[[#This Row],[MonthlyIncome]]*12*0.75</f>
        <v>44550</v>
      </c>
      <c r="AI8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87">
        <f>IF(Table1[[#This Row],[Attrition]]="Yes",Table1[[#This Row],[EstReplacementCost]],0)</f>
        <v>0</v>
      </c>
    </row>
    <row r="888" spans="1:36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47</v>
      </c>
      <c r="P888">
        <v>2</v>
      </c>
      <c r="Q888" t="s">
        <v>48</v>
      </c>
      <c r="R888">
        <v>3579</v>
      </c>
      <c r="S888">
        <v>9369</v>
      </c>
      <c r="T888">
        <v>0</v>
      </c>
      <c r="U888" t="s">
        <v>35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tr">
        <f>IF(Table1[[#This Row],[YearsAtCompany]]&lt;1,"0-1",IF(Table1[[#This Row],[YearsAtCompany]]&lt;=3,"1-3",IF(Table1[[#This Row],[YearsAtCompany]]&lt;=6,"4-6","7+")))</f>
        <v>7+</v>
      </c>
      <c r="AH888">
        <f>Table1[[#This Row],[MonthlyIncome]]*12*0.75</f>
        <v>32211</v>
      </c>
      <c r="AI8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88">
        <f>IF(Table1[[#This Row],[Attrition]]="Yes",Table1[[#This Row],[EstReplacementCost]],0)</f>
        <v>0</v>
      </c>
    </row>
    <row r="889" spans="1:36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58</v>
      </c>
      <c r="P889">
        <v>1</v>
      </c>
      <c r="Q889" t="s">
        <v>48</v>
      </c>
      <c r="R889">
        <v>13191</v>
      </c>
      <c r="S889">
        <v>23281</v>
      </c>
      <c r="T889">
        <v>3</v>
      </c>
      <c r="U889" t="s">
        <v>35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tr">
        <f>IF(Table1[[#This Row],[YearsAtCompany]]&lt;1,"0-1",IF(Table1[[#This Row],[YearsAtCompany]]&lt;=3,"1-3",IF(Table1[[#This Row],[YearsAtCompany]]&lt;=6,"4-6","7+")))</f>
        <v>1-3</v>
      </c>
      <c r="AH889">
        <f>Table1[[#This Row],[MonthlyIncome]]*12*0.75</f>
        <v>118719</v>
      </c>
      <c r="AI8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889">
        <f>IF(Table1[[#This Row],[Attrition]]="Yes",Table1[[#This Row],[EstReplacementCost]],0)</f>
        <v>0</v>
      </c>
    </row>
    <row r="890" spans="1:36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48</v>
      </c>
      <c r="R890">
        <v>10377</v>
      </c>
      <c r="S890">
        <v>13755</v>
      </c>
      <c r="T890">
        <v>4</v>
      </c>
      <c r="U890" t="s">
        <v>35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tr">
        <f>IF(Table1[[#This Row],[YearsAtCompany]]&lt;1,"0-1",IF(Table1[[#This Row],[YearsAtCompany]]&lt;=3,"1-3",IF(Table1[[#This Row],[YearsAtCompany]]&lt;=6,"4-6","7+")))</f>
        <v>7+</v>
      </c>
      <c r="AH890">
        <f>Table1[[#This Row],[MonthlyIncome]]*12*0.75</f>
        <v>93393</v>
      </c>
      <c r="AI8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90">
        <f>IF(Table1[[#This Row],[Attrition]]="Yes",Table1[[#This Row],[EstReplacementCost]],0)</f>
        <v>0</v>
      </c>
    </row>
    <row r="891" spans="1:36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47</v>
      </c>
      <c r="P891">
        <v>1</v>
      </c>
      <c r="Q891" t="s">
        <v>48</v>
      </c>
      <c r="R891">
        <v>2235</v>
      </c>
      <c r="S891">
        <v>14377</v>
      </c>
      <c r="T891">
        <v>1</v>
      </c>
      <c r="U891" t="s">
        <v>35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tr">
        <f>IF(Table1[[#This Row],[YearsAtCompany]]&lt;1,"0-1",IF(Table1[[#This Row],[YearsAtCompany]]&lt;=3,"1-3",IF(Table1[[#This Row],[YearsAtCompany]]&lt;=6,"4-6","7+")))</f>
        <v>7+</v>
      </c>
      <c r="AH891">
        <f>Table1[[#This Row],[MonthlyIncome]]*12*0.75</f>
        <v>20115</v>
      </c>
      <c r="AI8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91">
        <f>IF(Table1[[#This Row],[Attrition]]="Yes",Table1[[#This Row],[EstReplacementCost]],0)</f>
        <v>0</v>
      </c>
    </row>
    <row r="892" spans="1:36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53</v>
      </c>
      <c r="P892">
        <v>3</v>
      </c>
      <c r="Q892" t="s">
        <v>52</v>
      </c>
      <c r="R892">
        <v>10502</v>
      </c>
      <c r="S892">
        <v>9659</v>
      </c>
      <c r="T892">
        <v>7</v>
      </c>
      <c r="U892" t="s">
        <v>43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tr">
        <f>IF(Table1[[#This Row],[YearsAtCompany]]&lt;1,"0-1",IF(Table1[[#This Row],[YearsAtCompany]]&lt;=3,"1-3",IF(Table1[[#This Row],[YearsAtCompany]]&lt;=6,"4-6","7+")))</f>
        <v>4-6</v>
      </c>
      <c r="AH892">
        <f>Table1[[#This Row],[MonthlyIncome]]*12*0.75</f>
        <v>94518</v>
      </c>
      <c r="AI8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92">
        <f>IF(Table1[[#This Row],[Attrition]]="Yes",Table1[[#This Row],[EstReplacementCost]],0)</f>
        <v>0</v>
      </c>
    </row>
    <row r="893" spans="1:36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47</v>
      </c>
      <c r="P893">
        <v>4</v>
      </c>
      <c r="Q893" t="s">
        <v>48</v>
      </c>
      <c r="R893">
        <v>2011</v>
      </c>
      <c r="S893">
        <v>19982</v>
      </c>
      <c r="T893">
        <v>1</v>
      </c>
      <c r="U893" t="s">
        <v>43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tr">
        <f>IF(Table1[[#This Row],[YearsAtCompany]]&lt;1,"0-1",IF(Table1[[#This Row],[YearsAtCompany]]&lt;=3,"1-3",IF(Table1[[#This Row],[YearsAtCompany]]&lt;=6,"4-6","7+")))</f>
        <v>7+</v>
      </c>
      <c r="AH893">
        <f>Table1[[#This Row],[MonthlyIncome]]*12*0.75</f>
        <v>18099</v>
      </c>
      <c r="AI8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93">
        <f>IF(Table1[[#This Row],[Attrition]]="Yes",Table1[[#This Row],[EstReplacementCost]],0)</f>
        <v>0</v>
      </c>
    </row>
    <row r="894" spans="1:36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47</v>
      </c>
      <c r="P894">
        <v>2</v>
      </c>
      <c r="Q894" t="s">
        <v>41</v>
      </c>
      <c r="R894">
        <v>1859</v>
      </c>
      <c r="S894">
        <v>6148</v>
      </c>
      <c r="T894">
        <v>1</v>
      </c>
      <c r="U894" t="s">
        <v>35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tr">
        <f>IF(Table1[[#This Row],[YearsAtCompany]]&lt;1,"0-1",IF(Table1[[#This Row],[YearsAtCompany]]&lt;=3,"1-3",IF(Table1[[#This Row],[YearsAtCompany]]&lt;=6,"4-6","7+")))</f>
        <v>1-3</v>
      </c>
      <c r="AH894">
        <f>Table1[[#This Row],[MonthlyIncome]]*12*0.75</f>
        <v>16731</v>
      </c>
      <c r="AI8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894">
        <f>IF(Table1[[#This Row],[Attrition]]="Yes",Table1[[#This Row],[EstReplacementCost]],0)</f>
        <v>16731</v>
      </c>
    </row>
    <row r="895" spans="1:36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47</v>
      </c>
      <c r="P895">
        <v>4</v>
      </c>
      <c r="Q895" t="s">
        <v>52</v>
      </c>
      <c r="R895">
        <v>3760</v>
      </c>
      <c r="S895">
        <v>5598</v>
      </c>
      <c r="T895">
        <v>1</v>
      </c>
      <c r="U895" t="s">
        <v>43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tr">
        <f>IF(Table1[[#This Row],[YearsAtCompany]]&lt;1,"0-1",IF(Table1[[#This Row],[YearsAtCompany]]&lt;=3,"1-3",IF(Table1[[#This Row],[YearsAtCompany]]&lt;=6,"4-6","7+")))</f>
        <v>1-3</v>
      </c>
      <c r="AH895">
        <f>Table1[[#This Row],[MonthlyIncome]]*12*0.75</f>
        <v>33840</v>
      </c>
      <c r="AI8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95">
        <f>IF(Table1[[#This Row],[Attrition]]="Yes",Table1[[#This Row],[EstReplacementCost]],0)</f>
        <v>0</v>
      </c>
    </row>
    <row r="896" spans="1:36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58</v>
      </c>
      <c r="P896">
        <v>4</v>
      </c>
      <c r="Q896" t="s">
        <v>48</v>
      </c>
      <c r="R896">
        <v>17779</v>
      </c>
      <c r="S896">
        <v>23474</v>
      </c>
      <c r="T896">
        <v>3</v>
      </c>
      <c r="U896" t="s">
        <v>43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tr">
        <f>IF(Table1[[#This Row],[YearsAtCompany]]&lt;1,"0-1",IF(Table1[[#This Row],[YearsAtCompany]]&lt;=3,"1-3",IF(Table1[[#This Row],[YearsAtCompany]]&lt;=6,"4-6","7+")))</f>
        <v>7+</v>
      </c>
      <c r="AH896">
        <f>Table1[[#This Row],[MonthlyIncome]]*12*0.75</f>
        <v>160011</v>
      </c>
      <c r="AI8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96">
        <f>IF(Table1[[#This Row],[Attrition]]="Yes",Table1[[#This Row],[EstReplacementCost]],0)</f>
        <v>0</v>
      </c>
    </row>
    <row r="897" spans="1:36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54</v>
      </c>
      <c r="P897">
        <v>1</v>
      </c>
      <c r="Q897" t="s">
        <v>48</v>
      </c>
      <c r="R897">
        <v>6833</v>
      </c>
      <c r="S897">
        <v>17089</v>
      </c>
      <c r="T897">
        <v>1</v>
      </c>
      <c r="U897" t="s">
        <v>35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tr">
        <f>IF(Table1[[#This Row],[YearsAtCompany]]&lt;1,"0-1",IF(Table1[[#This Row],[YearsAtCompany]]&lt;=3,"1-3",IF(Table1[[#This Row],[YearsAtCompany]]&lt;=6,"4-6","7+")))</f>
        <v>4-6</v>
      </c>
      <c r="AH897">
        <f>Table1[[#This Row],[MonthlyIncome]]*12*0.75</f>
        <v>61497</v>
      </c>
      <c r="AI8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97">
        <f>IF(Table1[[#This Row],[Attrition]]="Yes",Table1[[#This Row],[EstReplacementCost]],0)</f>
        <v>0</v>
      </c>
    </row>
    <row r="898" spans="1:36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54</v>
      </c>
      <c r="P898">
        <v>1</v>
      </c>
      <c r="Q898" t="s">
        <v>41</v>
      </c>
      <c r="R898">
        <v>6812</v>
      </c>
      <c r="S898">
        <v>17198</v>
      </c>
      <c r="T898">
        <v>1</v>
      </c>
      <c r="U898" t="s">
        <v>43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tr">
        <f>IF(Table1[[#This Row],[YearsAtCompany]]&lt;1,"0-1",IF(Table1[[#This Row],[YearsAtCompany]]&lt;=3,"1-3",IF(Table1[[#This Row],[YearsAtCompany]]&lt;=6,"4-6","7+")))</f>
        <v>7+</v>
      </c>
      <c r="AH898">
        <f>Table1[[#This Row],[MonthlyIncome]]*12*0.75</f>
        <v>61308</v>
      </c>
      <c r="AI8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898">
        <f>IF(Table1[[#This Row],[Attrition]]="Yes",Table1[[#This Row],[EstReplacementCost]],0)</f>
        <v>0</v>
      </c>
    </row>
    <row r="899" spans="1:36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>
        <v>5171</v>
      </c>
      <c r="S899">
        <v>16490</v>
      </c>
      <c r="T899">
        <v>5</v>
      </c>
      <c r="U899" t="s">
        <v>43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tr">
        <f>IF(Table1[[#This Row],[YearsAtCompany]]&lt;1,"0-1",IF(Table1[[#This Row],[YearsAtCompany]]&lt;=3,"1-3",IF(Table1[[#This Row],[YearsAtCompany]]&lt;=6,"4-6","7+")))</f>
        <v>4-6</v>
      </c>
      <c r="AH899">
        <f>Table1[[#This Row],[MonthlyIncome]]*12*0.75</f>
        <v>46539</v>
      </c>
      <c r="AI8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899">
        <f>IF(Table1[[#This Row],[Attrition]]="Yes",Table1[[#This Row],[EstReplacementCost]],0)</f>
        <v>0</v>
      </c>
    </row>
    <row r="900" spans="1:36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58</v>
      </c>
      <c r="P900">
        <v>4</v>
      </c>
      <c r="Q900" t="s">
        <v>48</v>
      </c>
      <c r="R900">
        <v>19740</v>
      </c>
      <c r="S900">
        <v>18625</v>
      </c>
      <c r="T900">
        <v>3</v>
      </c>
      <c r="U900" t="s">
        <v>43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tr">
        <f>IF(Table1[[#This Row],[YearsAtCompany]]&lt;1,"0-1",IF(Table1[[#This Row],[YearsAtCompany]]&lt;=3,"1-3",IF(Table1[[#This Row],[YearsAtCompany]]&lt;=6,"4-6","7+")))</f>
        <v>7+</v>
      </c>
      <c r="AH900">
        <f>Table1[[#This Row],[MonthlyIncome]]*12*0.75</f>
        <v>177660</v>
      </c>
      <c r="AI9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00">
        <f>IF(Table1[[#This Row],[Attrition]]="Yes",Table1[[#This Row],[EstReplacementCost]],0)</f>
        <v>0</v>
      </c>
    </row>
    <row r="901" spans="1:36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56</v>
      </c>
      <c r="P901">
        <v>3</v>
      </c>
      <c r="Q901" t="s">
        <v>48</v>
      </c>
      <c r="R901">
        <v>18711</v>
      </c>
      <c r="S901">
        <v>12124</v>
      </c>
      <c r="T901">
        <v>2</v>
      </c>
      <c r="U901" t="s">
        <v>43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tr">
        <f>IF(Table1[[#This Row],[YearsAtCompany]]&lt;1,"0-1",IF(Table1[[#This Row],[YearsAtCompany]]&lt;=3,"1-3",IF(Table1[[#This Row],[YearsAtCompany]]&lt;=6,"4-6","7+")))</f>
        <v>1-3</v>
      </c>
      <c r="AH901">
        <f>Table1[[#This Row],[MonthlyIncome]]*12*0.75</f>
        <v>168399</v>
      </c>
      <c r="AI9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01">
        <f>IF(Table1[[#This Row],[Attrition]]="Yes",Table1[[#This Row],[EstReplacementCost]],0)</f>
        <v>0</v>
      </c>
    </row>
    <row r="902" spans="1:36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47</v>
      </c>
      <c r="P902">
        <v>2</v>
      </c>
      <c r="Q902" t="s">
        <v>48</v>
      </c>
      <c r="R902">
        <v>3692</v>
      </c>
      <c r="S902">
        <v>9256</v>
      </c>
      <c r="T902">
        <v>1</v>
      </c>
      <c r="U902" t="s">
        <v>43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tr">
        <f>IF(Table1[[#This Row],[YearsAtCompany]]&lt;1,"0-1",IF(Table1[[#This Row],[YearsAtCompany]]&lt;=3,"1-3",IF(Table1[[#This Row],[YearsAtCompany]]&lt;=6,"4-6","7+")))</f>
        <v>7+</v>
      </c>
      <c r="AH902">
        <f>Table1[[#This Row],[MonthlyIncome]]*12*0.75</f>
        <v>33228</v>
      </c>
      <c r="AI9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02">
        <f>IF(Table1[[#This Row],[Attrition]]="Yes",Table1[[#This Row],[EstReplacementCost]],0)</f>
        <v>0</v>
      </c>
    </row>
    <row r="903" spans="1:36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50</v>
      </c>
      <c r="P903">
        <v>2</v>
      </c>
      <c r="Q903" t="s">
        <v>41</v>
      </c>
      <c r="R903">
        <v>2559</v>
      </c>
      <c r="S903">
        <v>16620</v>
      </c>
      <c r="T903">
        <v>5</v>
      </c>
      <c r="U903" t="s">
        <v>43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tr">
        <f>IF(Table1[[#This Row],[YearsAtCompany]]&lt;1,"0-1",IF(Table1[[#This Row],[YearsAtCompany]]&lt;=3,"1-3",IF(Table1[[#This Row],[YearsAtCompany]]&lt;=6,"4-6","7+")))</f>
        <v>1-3</v>
      </c>
      <c r="AH903">
        <f>Table1[[#This Row],[MonthlyIncome]]*12*0.75</f>
        <v>23031</v>
      </c>
      <c r="AI9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03">
        <f>IF(Table1[[#This Row],[Attrition]]="Yes",Table1[[#This Row],[EstReplacementCost]],0)</f>
        <v>0</v>
      </c>
    </row>
    <row r="904" spans="1:36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47</v>
      </c>
      <c r="P904">
        <v>3</v>
      </c>
      <c r="Q904" t="s">
        <v>52</v>
      </c>
      <c r="R904">
        <v>2517</v>
      </c>
      <c r="S904">
        <v>3208</v>
      </c>
      <c r="T904">
        <v>1</v>
      </c>
      <c r="U904" t="s">
        <v>43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tr">
        <f>IF(Table1[[#This Row],[YearsAtCompany]]&lt;1,"0-1",IF(Table1[[#This Row],[YearsAtCompany]]&lt;=3,"1-3",IF(Table1[[#This Row],[YearsAtCompany]]&lt;=6,"4-6","7+")))</f>
        <v>4-6</v>
      </c>
      <c r="AH904">
        <f>Table1[[#This Row],[MonthlyIncome]]*12*0.75</f>
        <v>22653</v>
      </c>
      <c r="AI9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04">
        <f>IF(Table1[[#This Row],[Attrition]]="Yes",Table1[[#This Row],[EstReplacementCost]],0)</f>
        <v>0</v>
      </c>
    </row>
    <row r="905" spans="1:36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54</v>
      </c>
      <c r="P905">
        <v>4</v>
      </c>
      <c r="Q905" t="s">
        <v>52</v>
      </c>
      <c r="R905">
        <v>6623</v>
      </c>
      <c r="S905">
        <v>4204</v>
      </c>
      <c r="T905">
        <v>1</v>
      </c>
      <c r="U905" t="s">
        <v>35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tr">
        <f>IF(Table1[[#This Row],[YearsAtCompany]]&lt;1,"0-1",IF(Table1[[#This Row],[YearsAtCompany]]&lt;=3,"1-3",IF(Table1[[#This Row],[YearsAtCompany]]&lt;=6,"4-6","7+")))</f>
        <v>4-6</v>
      </c>
      <c r="AH905">
        <f>Table1[[#This Row],[MonthlyIncome]]*12*0.75</f>
        <v>59607</v>
      </c>
      <c r="AI9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05">
        <f>IF(Table1[[#This Row],[Attrition]]="Yes",Table1[[#This Row],[EstReplacementCost]],0)</f>
        <v>0</v>
      </c>
    </row>
    <row r="906" spans="1:36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58</v>
      </c>
      <c r="P906">
        <v>4</v>
      </c>
      <c r="Q906" t="s">
        <v>41</v>
      </c>
      <c r="R906">
        <v>18265</v>
      </c>
      <c r="S906">
        <v>8733</v>
      </c>
      <c r="T906">
        <v>6</v>
      </c>
      <c r="U906" t="s">
        <v>43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tr">
        <f>IF(Table1[[#This Row],[YearsAtCompany]]&lt;1,"0-1",IF(Table1[[#This Row],[YearsAtCompany]]&lt;=3,"1-3",IF(Table1[[#This Row],[YearsAtCompany]]&lt;=6,"4-6","7+")))</f>
        <v>1-3</v>
      </c>
      <c r="AH906">
        <f>Table1[[#This Row],[MonthlyIncome]]*12*0.75</f>
        <v>164385</v>
      </c>
      <c r="AI9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06">
        <f>IF(Table1[[#This Row],[Attrition]]="Yes",Table1[[#This Row],[EstReplacementCost]],0)</f>
        <v>0</v>
      </c>
    </row>
    <row r="907" spans="1:36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58</v>
      </c>
      <c r="P907">
        <v>4</v>
      </c>
      <c r="Q907" t="s">
        <v>52</v>
      </c>
      <c r="R907">
        <v>16124</v>
      </c>
      <c r="S907">
        <v>3423</v>
      </c>
      <c r="T907">
        <v>3</v>
      </c>
      <c r="U907" t="s">
        <v>43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tr">
        <f>IF(Table1[[#This Row],[YearsAtCompany]]&lt;1,"0-1",IF(Table1[[#This Row],[YearsAtCompany]]&lt;=3,"1-3",IF(Table1[[#This Row],[YearsAtCompany]]&lt;=6,"4-6","7+")))</f>
        <v>7+</v>
      </c>
      <c r="AH907">
        <f>Table1[[#This Row],[MonthlyIncome]]*12*0.75</f>
        <v>145116</v>
      </c>
      <c r="AI9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07">
        <f>IF(Table1[[#This Row],[Attrition]]="Yes",Table1[[#This Row],[EstReplacementCost]],0)</f>
        <v>0</v>
      </c>
    </row>
    <row r="908" spans="1:36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47</v>
      </c>
      <c r="P908">
        <v>3</v>
      </c>
      <c r="Q908" t="s">
        <v>48</v>
      </c>
      <c r="R908">
        <v>2585</v>
      </c>
      <c r="S908">
        <v>21643</v>
      </c>
      <c r="T908">
        <v>0</v>
      </c>
      <c r="U908" t="s">
        <v>43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tr">
        <f>IF(Table1[[#This Row],[YearsAtCompany]]&lt;1,"0-1",IF(Table1[[#This Row],[YearsAtCompany]]&lt;=3,"1-3",IF(Table1[[#This Row],[YearsAtCompany]]&lt;=6,"4-6","7+")))</f>
        <v>1-3</v>
      </c>
      <c r="AH908">
        <f>Table1[[#This Row],[MonthlyIncome]]*12*0.75</f>
        <v>23265</v>
      </c>
      <c r="AI9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08">
        <f>IF(Table1[[#This Row],[Attrition]]="Yes",Table1[[#This Row],[EstReplacementCost]],0)</f>
        <v>0</v>
      </c>
    </row>
    <row r="909" spans="1:36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56</v>
      </c>
      <c r="P909">
        <v>2</v>
      </c>
      <c r="Q909" t="s">
        <v>48</v>
      </c>
      <c r="R909">
        <v>18213</v>
      </c>
      <c r="S909">
        <v>8751</v>
      </c>
      <c r="T909">
        <v>7</v>
      </c>
      <c r="U909" t="s">
        <v>43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tr">
        <f>IF(Table1[[#This Row],[YearsAtCompany]]&lt;1,"0-1",IF(Table1[[#This Row],[YearsAtCompany]]&lt;=3,"1-3",IF(Table1[[#This Row],[YearsAtCompany]]&lt;=6,"4-6","7+")))</f>
        <v>7+</v>
      </c>
      <c r="AH909">
        <f>Table1[[#This Row],[MonthlyIncome]]*12*0.75</f>
        <v>163917</v>
      </c>
      <c r="AI9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09">
        <f>IF(Table1[[#This Row],[Attrition]]="Yes",Table1[[#This Row],[EstReplacementCost]],0)</f>
        <v>0</v>
      </c>
    </row>
    <row r="910" spans="1:36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52</v>
      </c>
      <c r="R910">
        <v>8380</v>
      </c>
      <c r="S910">
        <v>21708</v>
      </c>
      <c r="T910">
        <v>0</v>
      </c>
      <c r="U910" t="s">
        <v>35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tr">
        <f>IF(Table1[[#This Row],[YearsAtCompany]]&lt;1,"0-1",IF(Table1[[#This Row],[YearsAtCompany]]&lt;=3,"1-3",IF(Table1[[#This Row],[YearsAtCompany]]&lt;=6,"4-6","7+")))</f>
        <v>7+</v>
      </c>
      <c r="AH910">
        <f>Table1[[#This Row],[MonthlyIncome]]*12*0.75</f>
        <v>75420</v>
      </c>
      <c r="AI9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10">
        <f>IF(Table1[[#This Row],[Attrition]]="Yes",Table1[[#This Row],[EstReplacementCost]],0)</f>
        <v>0</v>
      </c>
    </row>
    <row r="911" spans="1:36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47</v>
      </c>
      <c r="P911">
        <v>4</v>
      </c>
      <c r="Q911" t="s">
        <v>41</v>
      </c>
      <c r="R911">
        <v>2994</v>
      </c>
      <c r="S911">
        <v>21221</v>
      </c>
      <c r="T911">
        <v>1</v>
      </c>
      <c r="U911" t="s">
        <v>35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tr">
        <f>IF(Table1[[#This Row],[YearsAtCompany]]&lt;1,"0-1",IF(Table1[[#This Row],[YearsAtCompany]]&lt;=3,"1-3",IF(Table1[[#This Row],[YearsAtCompany]]&lt;=6,"4-6","7+")))</f>
        <v>1-3</v>
      </c>
      <c r="AH911">
        <f>Table1[[#This Row],[MonthlyIncome]]*12*0.75</f>
        <v>26946</v>
      </c>
      <c r="AI9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11">
        <f>IF(Table1[[#This Row],[Attrition]]="Yes",Table1[[#This Row],[EstReplacementCost]],0)</f>
        <v>0</v>
      </c>
    </row>
    <row r="912" spans="1:36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47</v>
      </c>
      <c r="P912">
        <v>3</v>
      </c>
      <c r="Q912" t="s">
        <v>48</v>
      </c>
      <c r="R912">
        <v>1223</v>
      </c>
      <c r="S912">
        <v>16901</v>
      </c>
      <c r="T912">
        <v>1</v>
      </c>
      <c r="U912" t="s">
        <v>43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tr">
        <f>IF(Table1[[#This Row],[YearsAtCompany]]&lt;1,"0-1",IF(Table1[[#This Row],[YearsAtCompany]]&lt;=3,"1-3",IF(Table1[[#This Row],[YearsAtCompany]]&lt;=6,"4-6","7+")))</f>
        <v>1-3</v>
      </c>
      <c r="AH912">
        <f>Table1[[#This Row],[MonthlyIncome]]*12*0.75</f>
        <v>11007</v>
      </c>
      <c r="AI9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12">
        <f>IF(Table1[[#This Row],[Attrition]]="Yes",Table1[[#This Row],[EstReplacementCost]],0)</f>
        <v>0</v>
      </c>
    </row>
    <row r="913" spans="1:36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57</v>
      </c>
      <c r="P913">
        <v>4</v>
      </c>
      <c r="Q913" t="s">
        <v>41</v>
      </c>
      <c r="R913">
        <v>1118</v>
      </c>
      <c r="S913">
        <v>8040</v>
      </c>
      <c r="T913">
        <v>1</v>
      </c>
      <c r="U913" t="s">
        <v>35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tr">
        <f>IF(Table1[[#This Row],[YearsAtCompany]]&lt;1,"0-1",IF(Table1[[#This Row],[YearsAtCompany]]&lt;=3,"1-3",IF(Table1[[#This Row],[YearsAtCompany]]&lt;=6,"4-6","7+")))</f>
        <v>1-3</v>
      </c>
      <c r="AH913">
        <f>Table1[[#This Row],[MonthlyIncome]]*12*0.75</f>
        <v>10062</v>
      </c>
      <c r="AI9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13">
        <f>IF(Table1[[#This Row],[Attrition]]="Yes",Table1[[#This Row],[EstReplacementCost]],0)</f>
        <v>10062</v>
      </c>
    </row>
    <row r="914" spans="1:36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47</v>
      </c>
      <c r="P914">
        <v>4</v>
      </c>
      <c r="Q914" t="s">
        <v>41</v>
      </c>
      <c r="R914">
        <v>2875</v>
      </c>
      <c r="S914">
        <v>9973</v>
      </c>
      <c r="T914">
        <v>1</v>
      </c>
      <c r="U914" t="s">
        <v>35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tr">
        <f>IF(Table1[[#This Row],[YearsAtCompany]]&lt;1,"0-1",IF(Table1[[#This Row],[YearsAtCompany]]&lt;=3,"1-3",IF(Table1[[#This Row],[YearsAtCompany]]&lt;=6,"4-6","7+")))</f>
        <v>7+</v>
      </c>
      <c r="AH914">
        <f>Table1[[#This Row],[MonthlyIncome]]*12*0.75</f>
        <v>25875</v>
      </c>
      <c r="AI9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14">
        <f>IF(Table1[[#This Row],[Attrition]]="Yes",Table1[[#This Row],[EstReplacementCost]],0)</f>
        <v>0</v>
      </c>
    </row>
    <row r="915" spans="1:36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56</v>
      </c>
      <c r="P915">
        <v>2</v>
      </c>
      <c r="Q915" t="s">
        <v>41</v>
      </c>
      <c r="R915">
        <v>18824</v>
      </c>
      <c r="S915">
        <v>2493</v>
      </c>
      <c r="T915">
        <v>2</v>
      </c>
      <c r="U915" t="s">
        <v>35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tr">
        <f>IF(Table1[[#This Row],[YearsAtCompany]]&lt;1,"0-1",IF(Table1[[#This Row],[YearsAtCompany]]&lt;=3,"1-3",IF(Table1[[#This Row],[YearsAtCompany]]&lt;=6,"4-6","7+")))</f>
        <v>7+</v>
      </c>
      <c r="AH915">
        <f>Table1[[#This Row],[MonthlyIncome]]*12*0.75</f>
        <v>169416</v>
      </c>
      <c r="AI9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15">
        <f>IF(Table1[[#This Row],[Attrition]]="Yes",Table1[[#This Row],[EstReplacementCost]],0)</f>
        <v>169416</v>
      </c>
    </row>
    <row r="916" spans="1:36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54</v>
      </c>
      <c r="P916">
        <v>2</v>
      </c>
      <c r="Q916" t="s">
        <v>52</v>
      </c>
      <c r="R916">
        <v>13577</v>
      </c>
      <c r="S916">
        <v>25592</v>
      </c>
      <c r="T916">
        <v>1</v>
      </c>
      <c r="U916" t="s">
        <v>35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tr">
        <f>IF(Table1[[#This Row],[YearsAtCompany]]&lt;1,"0-1",IF(Table1[[#This Row],[YearsAtCompany]]&lt;=3,"1-3",IF(Table1[[#This Row],[YearsAtCompany]]&lt;=6,"4-6","7+")))</f>
        <v>7+</v>
      </c>
      <c r="AH916">
        <f>Table1[[#This Row],[MonthlyIncome]]*12*0.75</f>
        <v>122193</v>
      </c>
      <c r="AI9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16">
        <f>IF(Table1[[#This Row],[Attrition]]="Yes",Table1[[#This Row],[EstReplacementCost]],0)</f>
        <v>0</v>
      </c>
    </row>
    <row r="917" spans="1:36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50</v>
      </c>
      <c r="P917">
        <v>3</v>
      </c>
      <c r="Q917" t="s">
        <v>41</v>
      </c>
      <c r="R917">
        <v>2625</v>
      </c>
      <c r="S917">
        <v>25308</v>
      </c>
      <c r="T917">
        <v>1</v>
      </c>
      <c r="U917" t="s">
        <v>43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tr">
        <f>IF(Table1[[#This Row],[YearsAtCompany]]&lt;1,"0-1",IF(Table1[[#This Row],[YearsAtCompany]]&lt;=3,"1-3",IF(Table1[[#This Row],[YearsAtCompany]]&lt;=6,"4-6","7+")))</f>
        <v>1-3</v>
      </c>
      <c r="AH917">
        <f>Table1[[#This Row],[MonthlyIncome]]*12*0.75</f>
        <v>23625</v>
      </c>
      <c r="AI9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17">
        <f>IF(Table1[[#This Row],[Attrition]]="Yes",Table1[[#This Row],[EstReplacementCost]],0)</f>
        <v>23625</v>
      </c>
    </row>
    <row r="918" spans="1:36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56</v>
      </c>
      <c r="P918">
        <v>2</v>
      </c>
      <c r="Q918" t="s">
        <v>48</v>
      </c>
      <c r="R918">
        <v>18789</v>
      </c>
      <c r="S918">
        <v>9946</v>
      </c>
      <c r="T918">
        <v>2</v>
      </c>
      <c r="U918" t="s">
        <v>43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tr">
        <f>IF(Table1[[#This Row],[YearsAtCompany]]&lt;1,"0-1",IF(Table1[[#This Row],[YearsAtCompany]]&lt;=3,"1-3",IF(Table1[[#This Row],[YearsAtCompany]]&lt;=6,"4-6","7+")))</f>
        <v>7+</v>
      </c>
      <c r="AH918">
        <f>Table1[[#This Row],[MonthlyIncome]]*12*0.75</f>
        <v>169101</v>
      </c>
      <c r="AI9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18">
        <f>IF(Table1[[#This Row],[Attrition]]="Yes",Table1[[#This Row],[EstReplacementCost]],0)</f>
        <v>0</v>
      </c>
    </row>
    <row r="919" spans="1:36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>
        <v>4538</v>
      </c>
      <c r="S919">
        <v>6039</v>
      </c>
      <c r="T919">
        <v>0</v>
      </c>
      <c r="U919" t="s">
        <v>35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tr">
        <f>IF(Table1[[#This Row],[YearsAtCompany]]&lt;1,"0-1",IF(Table1[[#This Row],[YearsAtCompany]]&lt;=3,"1-3",IF(Table1[[#This Row],[YearsAtCompany]]&lt;=6,"4-6","7+")))</f>
        <v>1-3</v>
      </c>
      <c r="AH919">
        <f>Table1[[#This Row],[MonthlyIncome]]*12*0.75</f>
        <v>40842</v>
      </c>
      <c r="AI9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919">
        <f>IF(Table1[[#This Row],[Attrition]]="Yes",Table1[[#This Row],[EstReplacementCost]],0)</f>
        <v>0</v>
      </c>
    </row>
    <row r="920" spans="1:36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56</v>
      </c>
      <c r="P920">
        <v>2</v>
      </c>
      <c r="Q920" t="s">
        <v>52</v>
      </c>
      <c r="R920">
        <v>19847</v>
      </c>
      <c r="S920">
        <v>19196</v>
      </c>
      <c r="T920">
        <v>4</v>
      </c>
      <c r="U920" t="s">
        <v>35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tr">
        <f>IF(Table1[[#This Row],[YearsAtCompany]]&lt;1,"0-1",IF(Table1[[#This Row],[YearsAtCompany]]&lt;=3,"1-3",IF(Table1[[#This Row],[YearsAtCompany]]&lt;=6,"4-6","7+")))</f>
        <v>7+</v>
      </c>
      <c r="AH920">
        <f>Table1[[#This Row],[MonthlyIncome]]*12*0.75</f>
        <v>178623</v>
      </c>
      <c r="AI9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20">
        <f>IF(Table1[[#This Row],[Attrition]]="Yes",Table1[[#This Row],[EstReplacementCost]],0)</f>
        <v>0</v>
      </c>
    </row>
    <row r="921" spans="1:36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53</v>
      </c>
      <c r="P921">
        <v>4</v>
      </c>
      <c r="Q921" t="s">
        <v>41</v>
      </c>
      <c r="R921">
        <v>10512</v>
      </c>
      <c r="S921">
        <v>20002</v>
      </c>
      <c r="T921">
        <v>6</v>
      </c>
      <c r="U921" t="s">
        <v>43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tr">
        <f>IF(Table1[[#This Row],[YearsAtCompany]]&lt;1,"0-1",IF(Table1[[#This Row],[YearsAtCompany]]&lt;=3,"1-3",IF(Table1[[#This Row],[YearsAtCompany]]&lt;=6,"4-6","7+")))</f>
        <v>7+</v>
      </c>
      <c r="AH921">
        <f>Table1[[#This Row],[MonthlyIncome]]*12*0.75</f>
        <v>94608</v>
      </c>
      <c r="AI9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21">
        <f>IF(Table1[[#This Row],[Attrition]]="Yes",Table1[[#This Row],[EstReplacementCost]],0)</f>
        <v>0</v>
      </c>
    </row>
    <row r="922" spans="1:36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50</v>
      </c>
      <c r="P922">
        <v>2</v>
      </c>
      <c r="Q922" t="s">
        <v>52</v>
      </c>
      <c r="R922">
        <v>4444</v>
      </c>
      <c r="S922">
        <v>22534</v>
      </c>
      <c r="T922">
        <v>4</v>
      </c>
      <c r="U922" t="s">
        <v>43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tr">
        <f>IF(Table1[[#This Row],[YearsAtCompany]]&lt;1,"0-1",IF(Table1[[#This Row],[YearsAtCompany]]&lt;=3,"1-3",IF(Table1[[#This Row],[YearsAtCompany]]&lt;=6,"4-6","7+")))</f>
        <v>7+</v>
      </c>
      <c r="AH922">
        <f>Table1[[#This Row],[MonthlyIncome]]*12*0.75</f>
        <v>39996</v>
      </c>
      <c r="AI9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22">
        <f>IF(Table1[[#This Row],[Attrition]]="Yes",Table1[[#This Row],[EstReplacementCost]],0)</f>
        <v>0</v>
      </c>
    </row>
    <row r="923" spans="1:36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50</v>
      </c>
      <c r="P923">
        <v>3</v>
      </c>
      <c r="Q923" t="s">
        <v>41</v>
      </c>
      <c r="R923">
        <v>2154</v>
      </c>
      <c r="S923">
        <v>6842</v>
      </c>
      <c r="T923">
        <v>0</v>
      </c>
      <c r="U923" t="s">
        <v>35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tr">
        <f>IF(Table1[[#This Row],[YearsAtCompany]]&lt;1,"0-1",IF(Table1[[#This Row],[YearsAtCompany]]&lt;=3,"1-3",IF(Table1[[#This Row],[YearsAtCompany]]&lt;=6,"4-6","7+")))</f>
        <v>4-6</v>
      </c>
      <c r="AH923">
        <f>Table1[[#This Row],[MonthlyIncome]]*12*0.75</f>
        <v>19386</v>
      </c>
      <c r="AI9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23">
        <f>IF(Table1[[#This Row],[Attrition]]="Yes",Table1[[#This Row],[EstReplacementCost]],0)</f>
        <v>0</v>
      </c>
    </row>
    <row r="924" spans="1:36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56</v>
      </c>
      <c r="P924">
        <v>1</v>
      </c>
      <c r="Q924" t="s">
        <v>52</v>
      </c>
      <c r="R924">
        <v>19190</v>
      </c>
      <c r="S924">
        <v>17477</v>
      </c>
      <c r="T924">
        <v>1</v>
      </c>
      <c r="U924" t="s">
        <v>43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tr">
        <f>IF(Table1[[#This Row],[YearsAtCompany]]&lt;1,"0-1",IF(Table1[[#This Row],[YearsAtCompany]]&lt;=3,"1-3",IF(Table1[[#This Row],[YearsAtCompany]]&lt;=6,"4-6","7+")))</f>
        <v>7+</v>
      </c>
      <c r="AH924">
        <f>Table1[[#This Row],[MonthlyIncome]]*12*0.75</f>
        <v>172710</v>
      </c>
      <c r="AI9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24">
        <f>IF(Table1[[#This Row],[Attrition]]="Yes",Table1[[#This Row],[EstReplacementCost]],0)</f>
        <v>0</v>
      </c>
    </row>
    <row r="925" spans="1:36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61</v>
      </c>
      <c r="P925">
        <v>2</v>
      </c>
      <c r="Q925" t="s">
        <v>48</v>
      </c>
      <c r="R925">
        <v>4490</v>
      </c>
      <c r="S925">
        <v>21833</v>
      </c>
      <c r="T925">
        <v>4</v>
      </c>
      <c r="U925" t="s">
        <v>43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tr">
        <f>IF(Table1[[#This Row],[YearsAtCompany]]&lt;1,"0-1",IF(Table1[[#This Row],[YearsAtCompany]]&lt;=3,"1-3",IF(Table1[[#This Row],[YearsAtCompany]]&lt;=6,"4-6","7+")))</f>
        <v>7+</v>
      </c>
      <c r="AH925">
        <f>Table1[[#This Row],[MonthlyIncome]]*12*0.75</f>
        <v>40410</v>
      </c>
      <c r="AI9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25">
        <f>IF(Table1[[#This Row],[Attrition]]="Yes",Table1[[#This Row],[EstReplacementCost]],0)</f>
        <v>0</v>
      </c>
    </row>
    <row r="926" spans="1:36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47</v>
      </c>
      <c r="P926">
        <v>3</v>
      </c>
      <c r="Q926" t="s">
        <v>48</v>
      </c>
      <c r="R926">
        <v>3506</v>
      </c>
      <c r="S926">
        <v>6020</v>
      </c>
      <c r="T926">
        <v>0</v>
      </c>
      <c r="U926" t="s">
        <v>35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tr">
        <f>IF(Table1[[#This Row],[YearsAtCompany]]&lt;1,"0-1",IF(Table1[[#This Row],[YearsAtCompany]]&lt;=3,"1-3",IF(Table1[[#This Row],[YearsAtCompany]]&lt;=6,"4-6","7+")))</f>
        <v>1-3</v>
      </c>
      <c r="AH926">
        <f>Table1[[#This Row],[MonthlyIncome]]*12*0.75</f>
        <v>31554</v>
      </c>
      <c r="AI9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26">
        <f>IF(Table1[[#This Row],[Attrition]]="Yes",Table1[[#This Row],[EstReplacementCost]],0)</f>
        <v>0</v>
      </c>
    </row>
    <row r="927" spans="1:36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47</v>
      </c>
      <c r="P927">
        <v>2</v>
      </c>
      <c r="Q927" t="s">
        <v>48</v>
      </c>
      <c r="R927">
        <v>2372</v>
      </c>
      <c r="S927">
        <v>5628</v>
      </c>
      <c r="T927">
        <v>6</v>
      </c>
      <c r="U927" t="s">
        <v>35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tr">
        <f>IF(Table1[[#This Row],[YearsAtCompany]]&lt;1,"0-1",IF(Table1[[#This Row],[YearsAtCompany]]&lt;=3,"1-3",IF(Table1[[#This Row],[YearsAtCompany]]&lt;=6,"4-6","7+")))</f>
        <v>1-3</v>
      </c>
      <c r="AH927">
        <f>Table1[[#This Row],[MonthlyIncome]]*12*0.75</f>
        <v>21348</v>
      </c>
      <c r="AI9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927">
        <f>IF(Table1[[#This Row],[Attrition]]="Yes",Table1[[#This Row],[EstReplacementCost]],0)</f>
        <v>0</v>
      </c>
    </row>
    <row r="928" spans="1:36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>
        <v>10231</v>
      </c>
      <c r="S928">
        <v>20364</v>
      </c>
      <c r="T928">
        <v>3</v>
      </c>
      <c r="U928" t="s">
        <v>43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tr">
        <f>IF(Table1[[#This Row],[YearsAtCompany]]&lt;1,"0-1",IF(Table1[[#This Row],[YearsAtCompany]]&lt;=3,"1-3",IF(Table1[[#This Row],[YearsAtCompany]]&lt;=6,"4-6","7+")))</f>
        <v>7+</v>
      </c>
      <c r="AH928">
        <f>Table1[[#This Row],[MonthlyIncome]]*12*0.75</f>
        <v>92079</v>
      </c>
      <c r="AI9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28">
        <f>IF(Table1[[#This Row],[Attrition]]="Yes",Table1[[#This Row],[EstReplacementCost]],0)</f>
        <v>0</v>
      </c>
    </row>
    <row r="929" spans="1:36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53</v>
      </c>
      <c r="P929">
        <v>2</v>
      </c>
      <c r="Q929" t="s">
        <v>41</v>
      </c>
      <c r="R929">
        <v>5410</v>
      </c>
      <c r="S929">
        <v>2323</v>
      </c>
      <c r="T929">
        <v>9</v>
      </c>
      <c r="U929" t="s">
        <v>35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tr">
        <f>IF(Table1[[#This Row],[YearsAtCompany]]&lt;1,"0-1",IF(Table1[[#This Row],[YearsAtCompany]]&lt;=3,"1-3",IF(Table1[[#This Row],[YearsAtCompany]]&lt;=6,"4-6","7+")))</f>
        <v>7+</v>
      </c>
      <c r="AH929">
        <f>Table1[[#This Row],[MonthlyIncome]]*12*0.75</f>
        <v>48690</v>
      </c>
      <c r="AI9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29">
        <f>IF(Table1[[#This Row],[Attrition]]="Yes",Table1[[#This Row],[EstReplacementCost]],0)</f>
        <v>0</v>
      </c>
    </row>
    <row r="930" spans="1:36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54</v>
      </c>
      <c r="P930">
        <v>4</v>
      </c>
      <c r="Q930" t="s">
        <v>48</v>
      </c>
      <c r="R930">
        <v>7978</v>
      </c>
      <c r="S930">
        <v>14075</v>
      </c>
      <c r="T930">
        <v>1</v>
      </c>
      <c r="U930" t="s">
        <v>43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tr">
        <f>IF(Table1[[#This Row],[YearsAtCompany]]&lt;1,"0-1",IF(Table1[[#This Row],[YearsAtCompany]]&lt;=3,"1-3",IF(Table1[[#This Row],[YearsAtCompany]]&lt;=6,"4-6","7+")))</f>
        <v>7+</v>
      </c>
      <c r="AH930">
        <f>Table1[[#This Row],[MonthlyIncome]]*12*0.75</f>
        <v>71802</v>
      </c>
      <c r="AI9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30">
        <f>IF(Table1[[#This Row],[Attrition]]="Yes",Table1[[#This Row],[EstReplacementCost]],0)</f>
        <v>71802</v>
      </c>
    </row>
    <row r="931" spans="1:36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50</v>
      </c>
      <c r="P931">
        <v>4</v>
      </c>
      <c r="Q931" t="s">
        <v>48</v>
      </c>
      <c r="R931">
        <v>3867</v>
      </c>
      <c r="S931">
        <v>14222</v>
      </c>
      <c r="T931">
        <v>1</v>
      </c>
      <c r="U931" t="s">
        <v>35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tr">
        <f>IF(Table1[[#This Row],[YearsAtCompany]]&lt;1,"0-1",IF(Table1[[#This Row],[YearsAtCompany]]&lt;=3,"1-3",IF(Table1[[#This Row],[YearsAtCompany]]&lt;=6,"4-6","7+")))</f>
        <v>1-3</v>
      </c>
      <c r="AH931">
        <f>Table1[[#This Row],[MonthlyIncome]]*12*0.75</f>
        <v>34803</v>
      </c>
      <c r="AI9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31">
        <f>IF(Table1[[#This Row],[Attrition]]="Yes",Table1[[#This Row],[EstReplacementCost]],0)</f>
        <v>0</v>
      </c>
    </row>
    <row r="932" spans="1:36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50</v>
      </c>
      <c r="P932">
        <v>3</v>
      </c>
      <c r="Q932" t="s">
        <v>41</v>
      </c>
      <c r="R932">
        <v>2838</v>
      </c>
      <c r="S932">
        <v>4257</v>
      </c>
      <c r="T932">
        <v>0</v>
      </c>
      <c r="U932" t="s">
        <v>43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tr">
        <f>IF(Table1[[#This Row],[YearsAtCompany]]&lt;1,"0-1",IF(Table1[[#This Row],[YearsAtCompany]]&lt;=3,"1-3",IF(Table1[[#This Row],[YearsAtCompany]]&lt;=6,"4-6","7+")))</f>
        <v>7+</v>
      </c>
      <c r="AH932">
        <f>Table1[[#This Row],[MonthlyIncome]]*12*0.75</f>
        <v>25542</v>
      </c>
      <c r="AI9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32">
        <f>IF(Table1[[#This Row],[Attrition]]="Yes",Table1[[#This Row],[EstReplacementCost]],0)</f>
        <v>0</v>
      </c>
    </row>
    <row r="933" spans="1:36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53</v>
      </c>
      <c r="P933">
        <v>3</v>
      </c>
      <c r="Q933" t="s">
        <v>41</v>
      </c>
      <c r="R933">
        <v>4695</v>
      </c>
      <c r="S933">
        <v>12858</v>
      </c>
      <c r="T933">
        <v>7</v>
      </c>
      <c r="U933" t="s">
        <v>35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tr">
        <f>IF(Table1[[#This Row],[YearsAtCompany]]&lt;1,"0-1",IF(Table1[[#This Row],[YearsAtCompany]]&lt;=3,"1-3",IF(Table1[[#This Row],[YearsAtCompany]]&lt;=6,"4-6","7+")))</f>
        <v>7+</v>
      </c>
      <c r="AH933">
        <f>Table1[[#This Row],[MonthlyIncome]]*12*0.75</f>
        <v>42255</v>
      </c>
      <c r="AI9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33">
        <f>IF(Table1[[#This Row],[Attrition]]="Yes",Table1[[#This Row],[EstReplacementCost]],0)</f>
        <v>0</v>
      </c>
    </row>
    <row r="934" spans="1:36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50</v>
      </c>
      <c r="P934">
        <v>3</v>
      </c>
      <c r="Q934" t="s">
        <v>52</v>
      </c>
      <c r="R934">
        <v>3339</v>
      </c>
      <c r="S934">
        <v>17285</v>
      </c>
      <c r="T934">
        <v>3</v>
      </c>
      <c r="U934" t="s">
        <v>35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tr">
        <f>IF(Table1[[#This Row],[YearsAtCompany]]&lt;1,"0-1",IF(Table1[[#This Row],[YearsAtCompany]]&lt;=3,"1-3",IF(Table1[[#This Row],[YearsAtCompany]]&lt;=6,"4-6","7+")))</f>
        <v>7+</v>
      </c>
      <c r="AH934">
        <f>Table1[[#This Row],[MonthlyIncome]]*12*0.75</f>
        <v>30051</v>
      </c>
      <c r="AI9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34">
        <f>IF(Table1[[#This Row],[Attrition]]="Yes",Table1[[#This Row],[EstReplacementCost]],0)</f>
        <v>30051</v>
      </c>
    </row>
    <row r="935" spans="1:36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47</v>
      </c>
      <c r="P935">
        <v>1</v>
      </c>
      <c r="Q935" t="s">
        <v>41</v>
      </c>
      <c r="R935">
        <v>2080</v>
      </c>
      <c r="S935">
        <v>4732</v>
      </c>
      <c r="T935">
        <v>2</v>
      </c>
      <c r="U935" t="s">
        <v>43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tr">
        <f>IF(Table1[[#This Row],[YearsAtCompany]]&lt;1,"0-1",IF(Table1[[#This Row],[YearsAtCompany]]&lt;=3,"1-3",IF(Table1[[#This Row],[YearsAtCompany]]&lt;=6,"4-6","7+")))</f>
        <v>1-3</v>
      </c>
      <c r="AH935">
        <f>Table1[[#This Row],[MonthlyIncome]]*12*0.75</f>
        <v>18720</v>
      </c>
      <c r="AI9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35">
        <f>IF(Table1[[#This Row],[Attrition]]="Yes",Table1[[#This Row],[EstReplacementCost]],0)</f>
        <v>0</v>
      </c>
    </row>
    <row r="936" spans="1:36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47</v>
      </c>
      <c r="P936">
        <v>2</v>
      </c>
      <c r="Q936" t="s">
        <v>41</v>
      </c>
      <c r="R936">
        <v>2096</v>
      </c>
      <c r="S936">
        <v>18830</v>
      </c>
      <c r="T936">
        <v>1</v>
      </c>
      <c r="U936" t="s">
        <v>43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tr">
        <f>IF(Table1[[#This Row],[YearsAtCompany]]&lt;1,"0-1",IF(Table1[[#This Row],[YearsAtCompany]]&lt;=3,"1-3",IF(Table1[[#This Row],[YearsAtCompany]]&lt;=6,"4-6","7+")))</f>
        <v>1-3</v>
      </c>
      <c r="AH936">
        <f>Table1[[#This Row],[MonthlyIncome]]*12*0.75</f>
        <v>18864</v>
      </c>
      <c r="AI9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36">
        <f>IF(Table1[[#This Row],[Attrition]]="Yes",Table1[[#This Row],[EstReplacementCost]],0)</f>
        <v>0</v>
      </c>
    </row>
    <row r="937" spans="1:36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48</v>
      </c>
      <c r="R937">
        <v>6209</v>
      </c>
      <c r="S937">
        <v>11693</v>
      </c>
      <c r="T937">
        <v>1</v>
      </c>
      <c r="U937" t="s">
        <v>43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tr">
        <f>IF(Table1[[#This Row],[YearsAtCompany]]&lt;1,"0-1",IF(Table1[[#This Row],[YearsAtCompany]]&lt;=3,"1-3",IF(Table1[[#This Row],[YearsAtCompany]]&lt;=6,"4-6","7+")))</f>
        <v>7+</v>
      </c>
      <c r="AH937">
        <f>Table1[[#This Row],[MonthlyIncome]]*12*0.75</f>
        <v>55881</v>
      </c>
      <c r="AI9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37">
        <f>IF(Table1[[#This Row],[Attrition]]="Yes",Table1[[#This Row],[EstReplacementCost]],0)</f>
        <v>0</v>
      </c>
    </row>
    <row r="938" spans="1:36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56</v>
      </c>
      <c r="P938">
        <v>2</v>
      </c>
      <c r="Q938" t="s">
        <v>41</v>
      </c>
      <c r="R938">
        <v>18061</v>
      </c>
      <c r="S938">
        <v>13035</v>
      </c>
      <c r="T938">
        <v>3</v>
      </c>
      <c r="U938" t="s">
        <v>43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tr">
        <f>IF(Table1[[#This Row],[YearsAtCompany]]&lt;1,"0-1",IF(Table1[[#This Row],[YearsAtCompany]]&lt;=3,"1-3",IF(Table1[[#This Row],[YearsAtCompany]]&lt;=6,"4-6","7+")))</f>
        <v>0-1</v>
      </c>
      <c r="AH938">
        <f>Table1[[#This Row],[MonthlyIncome]]*12*0.75</f>
        <v>162549</v>
      </c>
      <c r="AI9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38">
        <f>IF(Table1[[#This Row],[Attrition]]="Yes",Table1[[#This Row],[EstReplacementCost]],0)</f>
        <v>0</v>
      </c>
    </row>
    <row r="939" spans="1:36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56</v>
      </c>
      <c r="P939">
        <v>2</v>
      </c>
      <c r="Q939" t="s">
        <v>52</v>
      </c>
      <c r="R939">
        <v>17123</v>
      </c>
      <c r="S939">
        <v>17334</v>
      </c>
      <c r="T939">
        <v>6</v>
      </c>
      <c r="U939" t="s">
        <v>35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tr">
        <f>IF(Table1[[#This Row],[YearsAtCompany]]&lt;1,"0-1",IF(Table1[[#This Row],[YearsAtCompany]]&lt;=3,"1-3",IF(Table1[[#This Row],[YearsAtCompany]]&lt;=6,"4-6","7+")))</f>
        <v>7+</v>
      </c>
      <c r="AH939">
        <f>Table1[[#This Row],[MonthlyIncome]]*12*0.75</f>
        <v>154107</v>
      </c>
      <c r="AI9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39">
        <f>IF(Table1[[#This Row],[Attrition]]="Yes",Table1[[#This Row],[EstReplacementCost]],0)</f>
        <v>0</v>
      </c>
    </row>
    <row r="940" spans="1:36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47</v>
      </c>
      <c r="P940">
        <v>3</v>
      </c>
      <c r="Q940" t="s">
        <v>52</v>
      </c>
      <c r="R940">
        <v>2372</v>
      </c>
      <c r="S940">
        <v>26076</v>
      </c>
      <c r="T940">
        <v>1</v>
      </c>
      <c r="U940" t="s">
        <v>43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tr">
        <f>IF(Table1[[#This Row],[YearsAtCompany]]&lt;1,"0-1",IF(Table1[[#This Row],[YearsAtCompany]]&lt;=3,"1-3",IF(Table1[[#This Row],[YearsAtCompany]]&lt;=6,"4-6","7+")))</f>
        <v>1-3</v>
      </c>
      <c r="AH940">
        <f>Table1[[#This Row],[MonthlyIncome]]*12*0.75</f>
        <v>21348</v>
      </c>
      <c r="AI9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40">
        <f>IF(Table1[[#This Row],[Attrition]]="Yes",Table1[[#This Row],[EstReplacementCost]],0)</f>
        <v>0</v>
      </c>
    </row>
    <row r="941" spans="1:36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50</v>
      </c>
      <c r="P941">
        <v>3</v>
      </c>
      <c r="Q941" t="s">
        <v>48</v>
      </c>
      <c r="R941">
        <v>4883</v>
      </c>
      <c r="S941">
        <v>22845</v>
      </c>
      <c r="T941">
        <v>1</v>
      </c>
      <c r="U941" t="s">
        <v>43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tr">
        <f>IF(Table1[[#This Row],[YearsAtCompany]]&lt;1,"0-1",IF(Table1[[#This Row],[YearsAtCompany]]&lt;=3,"1-3",IF(Table1[[#This Row],[YearsAtCompany]]&lt;=6,"4-6","7+")))</f>
        <v>7+</v>
      </c>
      <c r="AH941">
        <f>Table1[[#This Row],[MonthlyIncome]]*12*0.75</f>
        <v>43947</v>
      </c>
      <c r="AI9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41">
        <f>IF(Table1[[#This Row],[Attrition]]="Yes",Table1[[#This Row],[EstReplacementCost]],0)</f>
        <v>43947</v>
      </c>
    </row>
    <row r="942" spans="1:36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47</v>
      </c>
      <c r="P942">
        <v>1</v>
      </c>
      <c r="Q942" t="s">
        <v>41</v>
      </c>
      <c r="R942">
        <v>3904</v>
      </c>
      <c r="S942">
        <v>22154</v>
      </c>
      <c r="T942">
        <v>0</v>
      </c>
      <c r="U942" t="s">
        <v>43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tr">
        <f>IF(Table1[[#This Row],[YearsAtCompany]]&lt;1,"0-1",IF(Table1[[#This Row],[YearsAtCompany]]&lt;=3,"1-3",IF(Table1[[#This Row],[YearsAtCompany]]&lt;=6,"4-6","7+")))</f>
        <v>4-6</v>
      </c>
      <c r="AH942">
        <f>Table1[[#This Row],[MonthlyIncome]]*12*0.75</f>
        <v>35136</v>
      </c>
      <c r="AI9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42">
        <f>IF(Table1[[#This Row],[Attrition]]="Yes",Table1[[#This Row],[EstReplacementCost]],0)</f>
        <v>35136</v>
      </c>
    </row>
    <row r="943" spans="1:36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50</v>
      </c>
      <c r="P943">
        <v>4</v>
      </c>
      <c r="Q943" t="s">
        <v>48</v>
      </c>
      <c r="R943">
        <v>4627</v>
      </c>
      <c r="S943">
        <v>23631</v>
      </c>
      <c r="T943">
        <v>0</v>
      </c>
      <c r="U943" t="s">
        <v>43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tr">
        <f>IF(Table1[[#This Row],[YearsAtCompany]]&lt;1,"0-1",IF(Table1[[#This Row],[YearsAtCompany]]&lt;=3,"1-3",IF(Table1[[#This Row],[YearsAtCompany]]&lt;=6,"4-6","7+")))</f>
        <v>7+</v>
      </c>
      <c r="AH943">
        <f>Table1[[#This Row],[MonthlyIncome]]*12*0.75</f>
        <v>41643</v>
      </c>
      <c r="AI9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43">
        <f>IF(Table1[[#This Row],[Attrition]]="Yes",Table1[[#This Row],[EstReplacementCost]],0)</f>
        <v>0</v>
      </c>
    </row>
    <row r="944" spans="1:36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54</v>
      </c>
      <c r="P944">
        <v>3</v>
      </c>
      <c r="Q944" t="s">
        <v>48</v>
      </c>
      <c r="R944">
        <v>7094</v>
      </c>
      <c r="S944">
        <v>5747</v>
      </c>
      <c r="T944">
        <v>3</v>
      </c>
      <c r="U944" t="s">
        <v>43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tr">
        <f>IF(Table1[[#This Row],[YearsAtCompany]]&lt;1,"0-1",IF(Table1[[#This Row],[YearsAtCompany]]&lt;=3,"1-3",IF(Table1[[#This Row],[YearsAtCompany]]&lt;=6,"4-6","7+")))</f>
        <v>7+</v>
      </c>
      <c r="AH944">
        <f>Table1[[#This Row],[MonthlyIncome]]*12*0.75</f>
        <v>63846</v>
      </c>
      <c r="AI9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44">
        <f>IF(Table1[[#This Row],[Attrition]]="Yes",Table1[[#This Row],[EstReplacementCost]],0)</f>
        <v>0</v>
      </c>
    </row>
    <row r="945" spans="1:36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61</v>
      </c>
      <c r="P945">
        <v>1</v>
      </c>
      <c r="Q945" t="s">
        <v>41</v>
      </c>
      <c r="R945">
        <v>3423</v>
      </c>
      <c r="S945">
        <v>22957</v>
      </c>
      <c r="T945">
        <v>6</v>
      </c>
      <c r="U945" t="s">
        <v>43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tr">
        <f>IF(Table1[[#This Row],[YearsAtCompany]]&lt;1,"0-1",IF(Table1[[#This Row],[YearsAtCompany]]&lt;=3,"1-3",IF(Table1[[#This Row],[YearsAtCompany]]&lt;=6,"4-6","7+")))</f>
        <v>7+</v>
      </c>
      <c r="AH945">
        <f>Table1[[#This Row],[MonthlyIncome]]*12*0.75</f>
        <v>30807</v>
      </c>
      <c r="AI9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45">
        <f>IF(Table1[[#This Row],[Attrition]]="Yes",Table1[[#This Row],[EstReplacementCost]],0)</f>
        <v>0</v>
      </c>
    </row>
    <row r="946" spans="1:36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50</v>
      </c>
      <c r="P946">
        <v>4</v>
      </c>
      <c r="Q946" t="s">
        <v>48</v>
      </c>
      <c r="R946">
        <v>6674</v>
      </c>
      <c r="S946">
        <v>16392</v>
      </c>
      <c r="T946">
        <v>0</v>
      </c>
      <c r="U946" t="s">
        <v>43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tr">
        <f>IF(Table1[[#This Row],[YearsAtCompany]]&lt;1,"0-1",IF(Table1[[#This Row],[YearsAtCompany]]&lt;=3,"1-3",IF(Table1[[#This Row],[YearsAtCompany]]&lt;=6,"4-6","7+")))</f>
        <v>7+</v>
      </c>
      <c r="AH946">
        <f>Table1[[#This Row],[MonthlyIncome]]*12*0.75</f>
        <v>60066</v>
      </c>
      <c r="AI9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46">
        <f>IF(Table1[[#This Row],[Attrition]]="Yes",Table1[[#This Row],[EstReplacementCost]],0)</f>
        <v>0</v>
      </c>
    </row>
    <row r="947" spans="1:36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58</v>
      </c>
      <c r="P947">
        <v>1</v>
      </c>
      <c r="Q947" t="s">
        <v>48</v>
      </c>
      <c r="R947">
        <v>16880</v>
      </c>
      <c r="S947">
        <v>22422</v>
      </c>
      <c r="T947">
        <v>4</v>
      </c>
      <c r="U947" t="s">
        <v>35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tr">
        <f>IF(Table1[[#This Row],[YearsAtCompany]]&lt;1,"0-1",IF(Table1[[#This Row],[YearsAtCompany]]&lt;=3,"1-3",IF(Table1[[#This Row],[YearsAtCompany]]&lt;=6,"4-6","7+")))</f>
        <v>1-3</v>
      </c>
      <c r="AH947">
        <f>Table1[[#This Row],[MonthlyIncome]]*12*0.75</f>
        <v>151920</v>
      </c>
      <c r="AI9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947">
        <f>IF(Table1[[#This Row],[Attrition]]="Yes",Table1[[#This Row],[EstReplacementCost]],0)</f>
        <v>0</v>
      </c>
    </row>
    <row r="948" spans="1:36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>
        <v>9094</v>
      </c>
      <c r="S948">
        <v>17235</v>
      </c>
      <c r="T948">
        <v>2</v>
      </c>
      <c r="U948" t="s">
        <v>35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tr">
        <f>IF(Table1[[#This Row],[YearsAtCompany]]&lt;1,"0-1",IF(Table1[[#This Row],[YearsAtCompany]]&lt;=3,"1-3",IF(Table1[[#This Row],[YearsAtCompany]]&lt;=6,"4-6","7+")))</f>
        <v>4-6</v>
      </c>
      <c r="AH948">
        <f>Table1[[#This Row],[MonthlyIncome]]*12*0.75</f>
        <v>81846</v>
      </c>
      <c r="AI9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48">
        <f>IF(Table1[[#This Row],[Attrition]]="Yes",Table1[[#This Row],[EstReplacementCost]],0)</f>
        <v>81846</v>
      </c>
    </row>
    <row r="949" spans="1:36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>
        <v>8446</v>
      </c>
      <c r="S949">
        <v>21534</v>
      </c>
      <c r="T949">
        <v>9</v>
      </c>
      <c r="U949" t="s">
        <v>35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tr">
        <f>IF(Table1[[#This Row],[YearsAtCompany]]&lt;1,"0-1",IF(Table1[[#This Row],[YearsAtCompany]]&lt;=3,"1-3",IF(Table1[[#This Row],[YearsAtCompany]]&lt;=6,"4-6","7+")))</f>
        <v>7+</v>
      </c>
      <c r="AH949">
        <f>Table1[[#This Row],[MonthlyIncome]]*12*0.75</f>
        <v>76014</v>
      </c>
      <c r="AI9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49">
        <f>IF(Table1[[#This Row],[Attrition]]="Yes",Table1[[#This Row],[EstReplacementCost]],0)</f>
        <v>76014</v>
      </c>
    </row>
    <row r="950" spans="1:36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56</v>
      </c>
      <c r="P950">
        <v>1</v>
      </c>
      <c r="Q950" t="s">
        <v>48</v>
      </c>
      <c r="R950">
        <v>11916</v>
      </c>
      <c r="S950">
        <v>25927</v>
      </c>
      <c r="T950">
        <v>1</v>
      </c>
      <c r="U950" t="s">
        <v>35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tr">
        <f>IF(Table1[[#This Row],[YearsAtCompany]]&lt;1,"0-1",IF(Table1[[#This Row],[YearsAtCompany]]&lt;=3,"1-3",IF(Table1[[#This Row],[YearsAtCompany]]&lt;=6,"4-6","7+")))</f>
        <v>7+</v>
      </c>
      <c r="AH950">
        <f>Table1[[#This Row],[MonthlyIncome]]*12*0.75</f>
        <v>107244</v>
      </c>
      <c r="AI9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50">
        <f>IF(Table1[[#This Row],[Attrition]]="Yes",Table1[[#This Row],[EstReplacementCost]],0)</f>
        <v>0</v>
      </c>
    </row>
    <row r="951" spans="1:36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53</v>
      </c>
      <c r="P951">
        <v>3</v>
      </c>
      <c r="Q951" t="s">
        <v>41</v>
      </c>
      <c r="R951">
        <v>4534</v>
      </c>
      <c r="S951">
        <v>13352</v>
      </c>
      <c r="T951">
        <v>0</v>
      </c>
      <c r="U951" t="s">
        <v>43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tr">
        <f>IF(Table1[[#This Row],[YearsAtCompany]]&lt;1,"0-1",IF(Table1[[#This Row],[YearsAtCompany]]&lt;=3,"1-3",IF(Table1[[#This Row],[YearsAtCompany]]&lt;=6,"4-6","7+")))</f>
        <v>7+</v>
      </c>
      <c r="AH951">
        <f>Table1[[#This Row],[MonthlyIncome]]*12*0.75</f>
        <v>40806</v>
      </c>
      <c r="AI9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51">
        <f>IF(Table1[[#This Row],[Attrition]]="Yes",Table1[[#This Row],[EstReplacementCost]],0)</f>
        <v>0</v>
      </c>
    </row>
    <row r="952" spans="1:36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52</v>
      </c>
      <c r="R952">
        <v>9852</v>
      </c>
      <c r="S952">
        <v>8935</v>
      </c>
      <c r="T952">
        <v>1</v>
      </c>
      <c r="U952" t="s">
        <v>35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tr">
        <f>IF(Table1[[#This Row],[YearsAtCompany]]&lt;1,"0-1",IF(Table1[[#This Row],[YearsAtCompany]]&lt;=3,"1-3",IF(Table1[[#This Row],[YearsAtCompany]]&lt;=6,"4-6","7+")))</f>
        <v>7+</v>
      </c>
      <c r="AH952">
        <f>Table1[[#This Row],[MonthlyIncome]]*12*0.75</f>
        <v>88668</v>
      </c>
      <c r="AI9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52">
        <f>IF(Table1[[#This Row],[Attrition]]="Yes",Table1[[#This Row],[EstReplacementCost]],0)</f>
        <v>0</v>
      </c>
    </row>
    <row r="953" spans="1:36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>
        <v>6151</v>
      </c>
      <c r="S953">
        <v>22074</v>
      </c>
      <c r="T953">
        <v>1</v>
      </c>
      <c r="U953" t="s">
        <v>43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tr">
        <f>IF(Table1[[#This Row],[YearsAtCompany]]&lt;1,"0-1",IF(Table1[[#This Row],[YearsAtCompany]]&lt;=3,"1-3",IF(Table1[[#This Row],[YearsAtCompany]]&lt;=6,"4-6","7+")))</f>
        <v>7+</v>
      </c>
      <c r="AH953">
        <f>Table1[[#This Row],[MonthlyIncome]]*12*0.75</f>
        <v>55359</v>
      </c>
      <c r="AI9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53">
        <f>IF(Table1[[#This Row],[Attrition]]="Yes",Table1[[#This Row],[EstReplacementCost]],0)</f>
        <v>0</v>
      </c>
    </row>
    <row r="954" spans="1:36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57</v>
      </c>
      <c r="P954">
        <v>2</v>
      </c>
      <c r="Q954" t="s">
        <v>41</v>
      </c>
      <c r="R954">
        <v>2302</v>
      </c>
      <c r="S954">
        <v>8319</v>
      </c>
      <c r="T954">
        <v>1</v>
      </c>
      <c r="U954" t="s">
        <v>35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tr">
        <f>IF(Table1[[#This Row],[YearsAtCompany]]&lt;1,"0-1",IF(Table1[[#This Row],[YearsAtCompany]]&lt;=3,"1-3",IF(Table1[[#This Row],[YearsAtCompany]]&lt;=6,"4-6","7+")))</f>
        <v>1-3</v>
      </c>
      <c r="AH954">
        <f>Table1[[#This Row],[MonthlyIncome]]*12*0.75</f>
        <v>20718</v>
      </c>
      <c r="AI9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954">
        <f>IF(Table1[[#This Row],[Attrition]]="Yes",Table1[[#This Row],[EstReplacementCost]],0)</f>
        <v>20718</v>
      </c>
    </row>
    <row r="955" spans="1:36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50</v>
      </c>
      <c r="P955">
        <v>1</v>
      </c>
      <c r="Q955" t="s">
        <v>48</v>
      </c>
      <c r="R955">
        <v>2362</v>
      </c>
      <c r="S955">
        <v>14669</v>
      </c>
      <c r="T955">
        <v>4</v>
      </c>
      <c r="U955" t="s">
        <v>43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tr">
        <f>IF(Table1[[#This Row],[YearsAtCompany]]&lt;1,"0-1",IF(Table1[[#This Row],[YearsAtCompany]]&lt;=3,"1-3",IF(Table1[[#This Row],[YearsAtCompany]]&lt;=6,"4-6","7+")))</f>
        <v>1-3</v>
      </c>
      <c r="AH955">
        <f>Table1[[#This Row],[MonthlyIncome]]*12*0.75</f>
        <v>21258</v>
      </c>
      <c r="AI9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55">
        <f>IF(Table1[[#This Row],[Attrition]]="Yes",Table1[[#This Row],[EstReplacementCost]],0)</f>
        <v>21258</v>
      </c>
    </row>
    <row r="956" spans="1:36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56</v>
      </c>
      <c r="P956">
        <v>3</v>
      </c>
      <c r="Q956" t="s">
        <v>48</v>
      </c>
      <c r="R956">
        <v>17861</v>
      </c>
      <c r="S956">
        <v>26582</v>
      </c>
      <c r="T956">
        <v>0</v>
      </c>
      <c r="U956" t="s">
        <v>35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tr">
        <f>IF(Table1[[#This Row],[YearsAtCompany]]&lt;1,"0-1",IF(Table1[[#This Row],[YearsAtCompany]]&lt;=3,"1-3",IF(Table1[[#This Row],[YearsAtCompany]]&lt;=6,"4-6","7+")))</f>
        <v>7+</v>
      </c>
      <c r="AH956">
        <f>Table1[[#This Row],[MonthlyIncome]]*12*0.75</f>
        <v>160749</v>
      </c>
      <c r="AI9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56">
        <f>IF(Table1[[#This Row],[Attrition]]="Yes",Table1[[#This Row],[EstReplacementCost]],0)</f>
        <v>0</v>
      </c>
    </row>
    <row r="957" spans="1:36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56</v>
      </c>
      <c r="P957">
        <v>3</v>
      </c>
      <c r="Q957" t="s">
        <v>48</v>
      </c>
      <c r="R957">
        <v>19187</v>
      </c>
      <c r="S957">
        <v>6992</v>
      </c>
      <c r="T957">
        <v>4</v>
      </c>
      <c r="U957" t="s">
        <v>43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tr">
        <f>IF(Table1[[#This Row],[YearsAtCompany]]&lt;1,"0-1",IF(Table1[[#This Row],[YearsAtCompany]]&lt;=3,"1-3",IF(Table1[[#This Row],[YearsAtCompany]]&lt;=6,"4-6","7+")))</f>
        <v>7+</v>
      </c>
      <c r="AH957">
        <f>Table1[[#This Row],[MonthlyIncome]]*12*0.75</f>
        <v>172683</v>
      </c>
      <c r="AI9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57">
        <f>IF(Table1[[#This Row],[Attrition]]="Yes",Table1[[#This Row],[EstReplacementCost]],0)</f>
        <v>0</v>
      </c>
    </row>
    <row r="958" spans="1:36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56</v>
      </c>
      <c r="P958">
        <v>2</v>
      </c>
      <c r="Q958" t="s">
        <v>41</v>
      </c>
      <c r="R958">
        <v>19717</v>
      </c>
      <c r="S958">
        <v>4022</v>
      </c>
      <c r="T958">
        <v>6</v>
      </c>
      <c r="U958" t="s">
        <v>43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tr">
        <f>IF(Table1[[#This Row],[YearsAtCompany]]&lt;1,"0-1",IF(Table1[[#This Row],[YearsAtCompany]]&lt;=3,"1-3",IF(Table1[[#This Row],[YearsAtCompany]]&lt;=6,"4-6","7+")))</f>
        <v>7+</v>
      </c>
      <c r="AH958">
        <f>Table1[[#This Row],[MonthlyIncome]]*12*0.75</f>
        <v>177453</v>
      </c>
      <c r="AI9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58">
        <f>IF(Table1[[#This Row],[Attrition]]="Yes",Table1[[#This Row],[EstReplacementCost]],0)</f>
        <v>0</v>
      </c>
    </row>
    <row r="959" spans="1:36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47</v>
      </c>
      <c r="P959">
        <v>3</v>
      </c>
      <c r="Q959" t="s">
        <v>52</v>
      </c>
      <c r="R959">
        <v>3544</v>
      </c>
      <c r="S959">
        <v>8532</v>
      </c>
      <c r="T959">
        <v>9</v>
      </c>
      <c r="U959" t="s">
        <v>43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tr">
        <f>IF(Table1[[#This Row],[YearsAtCompany]]&lt;1,"0-1",IF(Table1[[#This Row],[YearsAtCompany]]&lt;=3,"1-3",IF(Table1[[#This Row],[YearsAtCompany]]&lt;=6,"4-6","7+")))</f>
        <v>4-6</v>
      </c>
      <c r="AH959">
        <f>Table1[[#This Row],[MonthlyIncome]]*12*0.75</f>
        <v>31896</v>
      </c>
      <c r="AI9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59">
        <f>IF(Table1[[#This Row],[Attrition]]="Yes",Table1[[#This Row],[EstReplacementCost]],0)</f>
        <v>0</v>
      </c>
    </row>
    <row r="960" spans="1:36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54</v>
      </c>
      <c r="P960">
        <v>4</v>
      </c>
      <c r="Q960" t="s">
        <v>52</v>
      </c>
      <c r="R960">
        <v>8500</v>
      </c>
      <c r="S960">
        <v>5494</v>
      </c>
      <c r="T960">
        <v>0</v>
      </c>
      <c r="U960" t="s">
        <v>43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tr">
        <f>IF(Table1[[#This Row],[YearsAtCompany]]&lt;1,"0-1",IF(Table1[[#This Row],[YearsAtCompany]]&lt;=3,"1-3",IF(Table1[[#This Row],[YearsAtCompany]]&lt;=6,"4-6","7+")))</f>
        <v>7+</v>
      </c>
      <c r="AH960">
        <f>Table1[[#This Row],[MonthlyIncome]]*12*0.75</f>
        <v>76500</v>
      </c>
      <c r="AI9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60">
        <f>IF(Table1[[#This Row],[Attrition]]="Yes",Table1[[#This Row],[EstReplacementCost]],0)</f>
        <v>0</v>
      </c>
    </row>
    <row r="961" spans="1:36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47</v>
      </c>
      <c r="P961">
        <v>4</v>
      </c>
      <c r="Q961" t="s">
        <v>41</v>
      </c>
      <c r="R961">
        <v>4661</v>
      </c>
      <c r="S961">
        <v>22455</v>
      </c>
      <c r="T961">
        <v>1</v>
      </c>
      <c r="U961" t="s">
        <v>43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tr">
        <f>IF(Table1[[#This Row],[YearsAtCompany]]&lt;1,"0-1",IF(Table1[[#This Row],[YearsAtCompany]]&lt;=3,"1-3",IF(Table1[[#This Row],[YearsAtCompany]]&lt;=6,"4-6","7+")))</f>
        <v>7+</v>
      </c>
      <c r="AH961">
        <f>Table1[[#This Row],[MonthlyIncome]]*12*0.75</f>
        <v>41949</v>
      </c>
      <c r="AI9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61">
        <f>IF(Table1[[#This Row],[Attrition]]="Yes",Table1[[#This Row],[EstReplacementCost]],0)</f>
        <v>0</v>
      </c>
    </row>
    <row r="962" spans="1:36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52</v>
      </c>
      <c r="R962">
        <v>4103</v>
      </c>
      <c r="S962">
        <v>4297</v>
      </c>
      <c r="T962">
        <v>0</v>
      </c>
      <c r="U962" t="s">
        <v>43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tr">
        <f>IF(Table1[[#This Row],[YearsAtCompany]]&lt;1,"0-1",IF(Table1[[#This Row],[YearsAtCompany]]&lt;=3,"1-3",IF(Table1[[#This Row],[YearsAtCompany]]&lt;=6,"4-6","7+")))</f>
        <v>7+</v>
      </c>
      <c r="AH962">
        <f>Table1[[#This Row],[MonthlyIncome]]*12*0.75</f>
        <v>36927</v>
      </c>
      <c r="AI9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62">
        <f>IF(Table1[[#This Row],[Attrition]]="Yes",Table1[[#This Row],[EstReplacementCost]],0)</f>
        <v>0</v>
      </c>
    </row>
    <row r="963" spans="1:36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47</v>
      </c>
      <c r="P963">
        <v>3</v>
      </c>
      <c r="Q963" t="s">
        <v>41</v>
      </c>
      <c r="R963">
        <v>4249</v>
      </c>
      <c r="S963">
        <v>2690</v>
      </c>
      <c r="T963">
        <v>1</v>
      </c>
      <c r="U963" t="s">
        <v>35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tr">
        <f>IF(Table1[[#This Row],[YearsAtCompany]]&lt;1,"0-1",IF(Table1[[#This Row],[YearsAtCompany]]&lt;=3,"1-3",IF(Table1[[#This Row],[YearsAtCompany]]&lt;=6,"4-6","7+")))</f>
        <v>7+</v>
      </c>
      <c r="AH963">
        <f>Table1[[#This Row],[MonthlyIncome]]*12*0.75</f>
        <v>38241</v>
      </c>
      <c r="AI9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63">
        <f>IF(Table1[[#This Row],[Attrition]]="Yes",Table1[[#This Row],[EstReplacementCost]],0)</f>
        <v>0</v>
      </c>
    </row>
    <row r="964" spans="1:36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56</v>
      </c>
      <c r="P964">
        <v>2</v>
      </c>
      <c r="Q964" t="s">
        <v>52</v>
      </c>
      <c r="R964">
        <v>14026</v>
      </c>
      <c r="S964">
        <v>17588</v>
      </c>
      <c r="T964">
        <v>1</v>
      </c>
      <c r="U964" t="s">
        <v>35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tr">
        <f>IF(Table1[[#This Row],[YearsAtCompany]]&lt;1,"0-1",IF(Table1[[#This Row],[YearsAtCompany]]&lt;=3,"1-3",IF(Table1[[#This Row],[YearsAtCompany]]&lt;=6,"4-6","7+")))</f>
        <v>7+</v>
      </c>
      <c r="AH964">
        <f>Table1[[#This Row],[MonthlyIncome]]*12*0.75</f>
        <v>126234</v>
      </c>
      <c r="AI9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64">
        <f>IF(Table1[[#This Row],[Attrition]]="Yes",Table1[[#This Row],[EstReplacementCost]],0)</f>
        <v>0</v>
      </c>
    </row>
    <row r="965" spans="1:36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52</v>
      </c>
      <c r="R965">
        <v>6893</v>
      </c>
      <c r="S965">
        <v>19461</v>
      </c>
      <c r="T965">
        <v>3</v>
      </c>
      <c r="U965" t="s">
        <v>43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tr">
        <f>IF(Table1[[#This Row],[YearsAtCompany]]&lt;1,"0-1",IF(Table1[[#This Row],[YearsAtCompany]]&lt;=3,"1-3",IF(Table1[[#This Row],[YearsAtCompany]]&lt;=6,"4-6","7+")))</f>
        <v>7+</v>
      </c>
      <c r="AH965">
        <f>Table1[[#This Row],[MonthlyIncome]]*12*0.75</f>
        <v>62037</v>
      </c>
      <c r="AI9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65">
        <f>IF(Table1[[#This Row],[Attrition]]="Yes",Table1[[#This Row],[EstReplacementCost]],0)</f>
        <v>0</v>
      </c>
    </row>
    <row r="966" spans="1:36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>
        <v>6125</v>
      </c>
      <c r="S966">
        <v>23553</v>
      </c>
      <c r="T966">
        <v>1</v>
      </c>
      <c r="U966" t="s">
        <v>43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tr">
        <f>IF(Table1[[#This Row],[YearsAtCompany]]&lt;1,"0-1",IF(Table1[[#This Row],[YearsAtCompany]]&lt;=3,"1-3",IF(Table1[[#This Row],[YearsAtCompany]]&lt;=6,"4-6","7+")))</f>
        <v>7+</v>
      </c>
      <c r="AH966">
        <f>Table1[[#This Row],[MonthlyIncome]]*12*0.75</f>
        <v>55125</v>
      </c>
      <c r="AI9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66">
        <f>IF(Table1[[#This Row],[Attrition]]="Yes",Table1[[#This Row],[EstReplacementCost]],0)</f>
        <v>0</v>
      </c>
    </row>
    <row r="967" spans="1:36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50</v>
      </c>
      <c r="P967">
        <v>4</v>
      </c>
      <c r="Q967" t="s">
        <v>48</v>
      </c>
      <c r="R967">
        <v>3669</v>
      </c>
      <c r="S967">
        <v>9075</v>
      </c>
      <c r="T967">
        <v>3</v>
      </c>
      <c r="U967" t="s">
        <v>43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tr">
        <f>IF(Table1[[#This Row],[YearsAtCompany]]&lt;1,"0-1",IF(Table1[[#This Row],[YearsAtCompany]]&lt;=3,"1-3",IF(Table1[[#This Row],[YearsAtCompany]]&lt;=6,"4-6","7+")))</f>
        <v>1-3</v>
      </c>
      <c r="AH967">
        <f>Table1[[#This Row],[MonthlyIncome]]*12*0.75</f>
        <v>33021</v>
      </c>
      <c r="AI9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67">
        <f>IF(Table1[[#This Row],[Attrition]]="Yes",Table1[[#This Row],[EstReplacementCost]],0)</f>
        <v>0</v>
      </c>
    </row>
    <row r="968" spans="1:36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53</v>
      </c>
      <c r="P968">
        <v>1</v>
      </c>
      <c r="Q968" t="s">
        <v>48</v>
      </c>
      <c r="R968">
        <v>10008</v>
      </c>
      <c r="S968">
        <v>12023</v>
      </c>
      <c r="T968">
        <v>7</v>
      </c>
      <c r="U968" t="s">
        <v>35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tr">
        <f>IF(Table1[[#This Row],[YearsAtCompany]]&lt;1,"0-1",IF(Table1[[#This Row],[YearsAtCompany]]&lt;=3,"1-3",IF(Table1[[#This Row],[YearsAtCompany]]&lt;=6,"4-6","7+")))</f>
        <v>7+</v>
      </c>
      <c r="AH968">
        <f>Table1[[#This Row],[MonthlyIncome]]*12*0.75</f>
        <v>90072</v>
      </c>
      <c r="AI9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68">
        <f>IF(Table1[[#This Row],[Attrition]]="Yes",Table1[[#This Row],[EstReplacementCost]],0)</f>
        <v>90072</v>
      </c>
    </row>
    <row r="969" spans="1:36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50</v>
      </c>
      <c r="P969">
        <v>2</v>
      </c>
      <c r="Q969" t="s">
        <v>48</v>
      </c>
      <c r="R969">
        <v>2387</v>
      </c>
      <c r="S969">
        <v>6762</v>
      </c>
      <c r="T969">
        <v>3</v>
      </c>
      <c r="U969" t="s">
        <v>43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tr">
        <f>IF(Table1[[#This Row],[YearsAtCompany]]&lt;1,"0-1",IF(Table1[[#This Row],[YearsAtCompany]]&lt;=3,"1-3",IF(Table1[[#This Row],[YearsAtCompany]]&lt;=6,"4-6","7+")))</f>
        <v>4-6</v>
      </c>
      <c r="AH969">
        <f>Table1[[#This Row],[MonthlyIncome]]*12*0.75</f>
        <v>21483</v>
      </c>
      <c r="AI9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69">
        <f>IF(Table1[[#This Row],[Attrition]]="Yes",Table1[[#This Row],[EstReplacementCost]],0)</f>
        <v>0</v>
      </c>
    </row>
    <row r="970" spans="1:36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48</v>
      </c>
      <c r="R970">
        <v>4639</v>
      </c>
      <c r="S970">
        <v>2261</v>
      </c>
      <c r="T970">
        <v>2</v>
      </c>
      <c r="U970" t="s">
        <v>43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tr">
        <f>IF(Table1[[#This Row],[YearsAtCompany]]&lt;1,"0-1",IF(Table1[[#This Row],[YearsAtCompany]]&lt;=3,"1-3",IF(Table1[[#This Row],[YearsAtCompany]]&lt;=6,"4-6","7+")))</f>
        <v>7+</v>
      </c>
      <c r="AH970">
        <f>Table1[[#This Row],[MonthlyIncome]]*12*0.75</f>
        <v>41751</v>
      </c>
      <c r="AI9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70">
        <f>IF(Table1[[#This Row],[Attrition]]="Yes",Table1[[#This Row],[EstReplacementCost]],0)</f>
        <v>0</v>
      </c>
    </row>
    <row r="971" spans="1:36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53</v>
      </c>
      <c r="P971">
        <v>4</v>
      </c>
      <c r="Q971" t="s">
        <v>41</v>
      </c>
      <c r="R971">
        <v>7898</v>
      </c>
      <c r="S971">
        <v>18706</v>
      </c>
      <c r="T971">
        <v>1</v>
      </c>
      <c r="U971" t="s">
        <v>43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tr">
        <f>IF(Table1[[#This Row],[YearsAtCompany]]&lt;1,"0-1",IF(Table1[[#This Row],[YearsAtCompany]]&lt;=3,"1-3",IF(Table1[[#This Row],[YearsAtCompany]]&lt;=6,"4-6","7+")))</f>
        <v>7+</v>
      </c>
      <c r="AH971">
        <f>Table1[[#This Row],[MonthlyIncome]]*12*0.75</f>
        <v>71082</v>
      </c>
      <c r="AI9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71">
        <f>IF(Table1[[#This Row],[Attrition]]="Yes",Table1[[#This Row],[EstReplacementCost]],0)</f>
        <v>0</v>
      </c>
    </row>
    <row r="972" spans="1:36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57</v>
      </c>
      <c r="P972">
        <v>4</v>
      </c>
      <c r="Q972" t="s">
        <v>48</v>
      </c>
      <c r="R972">
        <v>2534</v>
      </c>
      <c r="S972">
        <v>6527</v>
      </c>
      <c r="T972">
        <v>8</v>
      </c>
      <c r="U972" t="s">
        <v>43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tr">
        <f>IF(Table1[[#This Row],[YearsAtCompany]]&lt;1,"0-1",IF(Table1[[#This Row],[YearsAtCompany]]&lt;=3,"1-3",IF(Table1[[#This Row],[YearsAtCompany]]&lt;=6,"4-6","7+")))</f>
        <v>1-3</v>
      </c>
      <c r="AH972">
        <f>Table1[[#This Row],[MonthlyIncome]]*12*0.75</f>
        <v>22806</v>
      </c>
      <c r="AI9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72">
        <f>IF(Table1[[#This Row],[Attrition]]="Yes",Table1[[#This Row],[EstReplacementCost]],0)</f>
        <v>0</v>
      </c>
    </row>
    <row r="973" spans="1:36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53</v>
      </c>
      <c r="P973">
        <v>2</v>
      </c>
      <c r="Q973" t="s">
        <v>41</v>
      </c>
      <c r="R973">
        <v>13142</v>
      </c>
      <c r="S973">
        <v>24439</v>
      </c>
      <c r="T973">
        <v>3</v>
      </c>
      <c r="U973" t="s">
        <v>43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tr">
        <f>IF(Table1[[#This Row],[YearsAtCompany]]&lt;1,"0-1",IF(Table1[[#This Row],[YearsAtCompany]]&lt;=3,"1-3",IF(Table1[[#This Row],[YearsAtCompany]]&lt;=6,"4-6","7+")))</f>
        <v>4-6</v>
      </c>
      <c r="AH973">
        <f>Table1[[#This Row],[MonthlyIncome]]*12*0.75</f>
        <v>118278</v>
      </c>
      <c r="AI9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73">
        <f>IF(Table1[[#This Row],[Attrition]]="Yes",Table1[[#This Row],[EstReplacementCost]],0)</f>
        <v>0</v>
      </c>
    </row>
    <row r="974" spans="1:36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50</v>
      </c>
      <c r="P974">
        <v>4</v>
      </c>
      <c r="Q974" t="s">
        <v>41</v>
      </c>
      <c r="R974">
        <v>1611</v>
      </c>
      <c r="S974">
        <v>19305</v>
      </c>
      <c r="T974">
        <v>1</v>
      </c>
      <c r="U974" t="s">
        <v>43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tr">
        <f>IF(Table1[[#This Row],[YearsAtCompany]]&lt;1,"0-1",IF(Table1[[#This Row],[YearsAtCompany]]&lt;=3,"1-3",IF(Table1[[#This Row],[YearsAtCompany]]&lt;=6,"4-6","7+")))</f>
        <v>0-1</v>
      </c>
      <c r="AH974">
        <f>Table1[[#This Row],[MonthlyIncome]]*12*0.75</f>
        <v>14499</v>
      </c>
      <c r="AI9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74">
        <f>IF(Table1[[#This Row],[Attrition]]="Yes",Table1[[#This Row],[EstReplacementCost]],0)</f>
        <v>0</v>
      </c>
    </row>
    <row r="975" spans="1:36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50</v>
      </c>
      <c r="P975">
        <v>4</v>
      </c>
      <c r="Q975" t="s">
        <v>48</v>
      </c>
      <c r="R975">
        <v>5363</v>
      </c>
      <c r="S975">
        <v>10846</v>
      </c>
      <c r="T975">
        <v>0</v>
      </c>
      <c r="U975" t="s">
        <v>43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tr">
        <f>IF(Table1[[#This Row],[YearsAtCompany]]&lt;1,"0-1",IF(Table1[[#This Row],[YearsAtCompany]]&lt;=3,"1-3",IF(Table1[[#This Row],[YearsAtCompany]]&lt;=6,"4-6","7+")))</f>
        <v>7+</v>
      </c>
      <c r="AH975">
        <f>Table1[[#This Row],[MonthlyIncome]]*12*0.75</f>
        <v>48267</v>
      </c>
      <c r="AI9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75">
        <f>IF(Table1[[#This Row],[Attrition]]="Yes",Table1[[#This Row],[EstReplacementCost]],0)</f>
        <v>0</v>
      </c>
    </row>
    <row r="976" spans="1:36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>
        <v>5071</v>
      </c>
      <c r="S976">
        <v>20392</v>
      </c>
      <c r="T976">
        <v>3</v>
      </c>
      <c r="U976" t="s">
        <v>43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tr">
        <f>IF(Table1[[#This Row],[YearsAtCompany]]&lt;1,"0-1",IF(Table1[[#This Row],[YearsAtCompany]]&lt;=3,"1-3",IF(Table1[[#This Row],[YearsAtCompany]]&lt;=6,"4-6","7+")))</f>
        <v>4-6</v>
      </c>
      <c r="AH976">
        <f>Table1[[#This Row],[MonthlyIncome]]*12*0.75</f>
        <v>45639</v>
      </c>
      <c r="AI9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76">
        <f>IF(Table1[[#This Row],[Attrition]]="Yes",Table1[[#This Row],[EstReplacementCost]],0)</f>
        <v>0</v>
      </c>
    </row>
    <row r="977" spans="1:36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>
        <v>13695</v>
      </c>
      <c r="S977">
        <v>9277</v>
      </c>
      <c r="T977">
        <v>6</v>
      </c>
      <c r="U977" t="s">
        <v>35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tr">
        <f>IF(Table1[[#This Row],[YearsAtCompany]]&lt;1,"0-1",IF(Table1[[#This Row],[YearsAtCompany]]&lt;=3,"1-3",IF(Table1[[#This Row],[YearsAtCompany]]&lt;=6,"4-6","7+")))</f>
        <v>7+</v>
      </c>
      <c r="AH977">
        <f>Table1[[#This Row],[MonthlyIncome]]*12*0.75</f>
        <v>123255</v>
      </c>
      <c r="AI9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77">
        <f>IF(Table1[[#This Row],[Attrition]]="Yes",Table1[[#This Row],[EstReplacementCost]],0)</f>
        <v>123255</v>
      </c>
    </row>
    <row r="978" spans="1:36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53</v>
      </c>
      <c r="P978">
        <v>2</v>
      </c>
      <c r="Q978" t="s">
        <v>48</v>
      </c>
      <c r="R978">
        <v>13402</v>
      </c>
      <c r="S978">
        <v>18235</v>
      </c>
      <c r="T978">
        <v>4</v>
      </c>
      <c r="U978" t="s">
        <v>35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tr">
        <f>IF(Table1[[#This Row],[YearsAtCompany]]&lt;1,"0-1",IF(Table1[[#This Row],[YearsAtCompany]]&lt;=3,"1-3",IF(Table1[[#This Row],[YearsAtCompany]]&lt;=6,"4-6","7+")))</f>
        <v>7+</v>
      </c>
      <c r="AH978">
        <f>Table1[[#This Row],[MonthlyIncome]]*12*0.75</f>
        <v>120618</v>
      </c>
      <c r="AI9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78">
        <f>IF(Table1[[#This Row],[Attrition]]="Yes",Table1[[#This Row],[EstReplacementCost]],0)</f>
        <v>0</v>
      </c>
    </row>
    <row r="979" spans="1:36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47</v>
      </c>
      <c r="P979">
        <v>3</v>
      </c>
      <c r="Q979" t="s">
        <v>52</v>
      </c>
      <c r="R979">
        <v>2029</v>
      </c>
      <c r="S979">
        <v>15891</v>
      </c>
      <c r="T979">
        <v>1</v>
      </c>
      <c r="U979" t="s">
        <v>43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tr">
        <f>IF(Table1[[#This Row],[YearsAtCompany]]&lt;1,"0-1",IF(Table1[[#This Row],[YearsAtCompany]]&lt;=3,"1-3",IF(Table1[[#This Row],[YearsAtCompany]]&lt;=6,"4-6","7+")))</f>
        <v>4-6</v>
      </c>
      <c r="AH979">
        <f>Table1[[#This Row],[MonthlyIncome]]*12*0.75</f>
        <v>18261</v>
      </c>
      <c r="AI9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79">
        <f>IF(Table1[[#This Row],[Attrition]]="Yes",Table1[[#This Row],[EstReplacementCost]],0)</f>
        <v>0</v>
      </c>
    </row>
    <row r="980" spans="1:36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54</v>
      </c>
      <c r="P980">
        <v>3</v>
      </c>
      <c r="Q980" t="s">
        <v>52</v>
      </c>
      <c r="R980">
        <v>6377</v>
      </c>
      <c r="S980">
        <v>13888</v>
      </c>
      <c r="T980">
        <v>5</v>
      </c>
      <c r="U980" t="s">
        <v>43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tr">
        <f>IF(Table1[[#This Row],[YearsAtCompany]]&lt;1,"0-1",IF(Table1[[#This Row],[YearsAtCompany]]&lt;=3,"1-3",IF(Table1[[#This Row],[YearsAtCompany]]&lt;=6,"4-6","7+")))</f>
        <v>7+</v>
      </c>
      <c r="AH980">
        <f>Table1[[#This Row],[MonthlyIncome]]*12*0.75</f>
        <v>57393</v>
      </c>
      <c r="AI9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80">
        <f>IF(Table1[[#This Row],[Attrition]]="Yes",Table1[[#This Row],[EstReplacementCost]],0)</f>
        <v>0</v>
      </c>
    </row>
    <row r="981" spans="1:36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50</v>
      </c>
      <c r="P981">
        <v>3</v>
      </c>
      <c r="Q981" t="s">
        <v>48</v>
      </c>
      <c r="R981">
        <v>5429</v>
      </c>
      <c r="S981">
        <v>17491</v>
      </c>
      <c r="T981">
        <v>4</v>
      </c>
      <c r="U981" t="s">
        <v>43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tr">
        <f>IF(Table1[[#This Row],[YearsAtCompany]]&lt;1,"0-1",IF(Table1[[#This Row],[YearsAtCompany]]&lt;=3,"1-3",IF(Table1[[#This Row],[YearsAtCompany]]&lt;=6,"4-6","7+")))</f>
        <v>7+</v>
      </c>
      <c r="AH981">
        <f>Table1[[#This Row],[MonthlyIncome]]*12*0.75</f>
        <v>48861</v>
      </c>
      <c r="AI9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81">
        <f>IF(Table1[[#This Row],[Attrition]]="Yes",Table1[[#This Row],[EstReplacementCost]],0)</f>
        <v>0</v>
      </c>
    </row>
    <row r="982" spans="1:36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57</v>
      </c>
      <c r="P982">
        <v>4</v>
      </c>
      <c r="Q982" t="s">
        <v>41</v>
      </c>
      <c r="R982">
        <v>2785</v>
      </c>
      <c r="S982">
        <v>11882</v>
      </c>
      <c r="T982">
        <v>7</v>
      </c>
      <c r="U982" t="s">
        <v>43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tr">
        <f>IF(Table1[[#This Row],[YearsAtCompany]]&lt;1,"0-1",IF(Table1[[#This Row],[YearsAtCompany]]&lt;=3,"1-3",IF(Table1[[#This Row],[YearsAtCompany]]&lt;=6,"4-6","7+")))</f>
        <v>1-3</v>
      </c>
      <c r="AH982">
        <f>Table1[[#This Row],[MonthlyIncome]]*12*0.75</f>
        <v>25065</v>
      </c>
      <c r="AI9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82">
        <f>IF(Table1[[#This Row],[Attrition]]="Yes",Table1[[#This Row],[EstReplacementCost]],0)</f>
        <v>25065</v>
      </c>
    </row>
    <row r="983" spans="1:36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48</v>
      </c>
      <c r="R983">
        <v>4614</v>
      </c>
      <c r="S983">
        <v>23288</v>
      </c>
      <c r="T983">
        <v>0</v>
      </c>
      <c r="U983" t="s">
        <v>35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tr">
        <f>IF(Table1[[#This Row],[YearsAtCompany]]&lt;1,"0-1",IF(Table1[[#This Row],[YearsAtCompany]]&lt;=3,"1-3",IF(Table1[[#This Row],[YearsAtCompany]]&lt;=6,"4-6","7+")))</f>
        <v>4-6</v>
      </c>
      <c r="AH983">
        <f>Table1[[#This Row],[MonthlyIncome]]*12*0.75</f>
        <v>41526</v>
      </c>
      <c r="AI9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83">
        <f>IF(Table1[[#This Row],[Attrition]]="Yes",Table1[[#This Row],[EstReplacementCost]],0)</f>
        <v>41526</v>
      </c>
    </row>
    <row r="984" spans="1:36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47</v>
      </c>
      <c r="P984">
        <v>3</v>
      </c>
      <c r="Q984" t="s">
        <v>52</v>
      </c>
      <c r="R984">
        <v>2610</v>
      </c>
      <c r="S984">
        <v>15748</v>
      </c>
      <c r="T984">
        <v>1</v>
      </c>
      <c r="U984" t="s">
        <v>43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tr">
        <f>IF(Table1[[#This Row],[YearsAtCompany]]&lt;1,"0-1",IF(Table1[[#This Row],[YearsAtCompany]]&lt;=3,"1-3",IF(Table1[[#This Row],[YearsAtCompany]]&lt;=6,"4-6","7+")))</f>
        <v>4-6</v>
      </c>
      <c r="AH984">
        <f>Table1[[#This Row],[MonthlyIncome]]*12*0.75</f>
        <v>23490</v>
      </c>
      <c r="AI9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84">
        <f>IF(Table1[[#This Row],[Attrition]]="Yes",Table1[[#This Row],[EstReplacementCost]],0)</f>
        <v>0</v>
      </c>
    </row>
    <row r="985" spans="1:36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54</v>
      </c>
      <c r="P985">
        <v>4</v>
      </c>
      <c r="Q985" t="s">
        <v>41</v>
      </c>
      <c r="R985">
        <v>6687</v>
      </c>
      <c r="S985">
        <v>6163</v>
      </c>
      <c r="T985">
        <v>1</v>
      </c>
      <c r="U985" t="s">
        <v>43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tr">
        <f>IF(Table1[[#This Row],[YearsAtCompany]]&lt;1,"0-1",IF(Table1[[#This Row],[YearsAtCompany]]&lt;=3,"1-3",IF(Table1[[#This Row],[YearsAtCompany]]&lt;=6,"4-6","7+")))</f>
        <v>7+</v>
      </c>
      <c r="AH985">
        <f>Table1[[#This Row],[MonthlyIncome]]*12*0.75</f>
        <v>60183</v>
      </c>
      <c r="AI9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85">
        <f>IF(Table1[[#This Row],[Attrition]]="Yes",Table1[[#This Row],[EstReplacementCost]],0)</f>
        <v>0</v>
      </c>
    </row>
    <row r="986" spans="1:36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48</v>
      </c>
      <c r="R986">
        <v>4724</v>
      </c>
      <c r="S986">
        <v>24232</v>
      </c>
      <c r="T986">
        <v>1</v>
      </c>
      <c r="U986" t="s">
        <v>43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tr">
        <f>IF(Table1[[#This Row],[YearsAtCompany]]&lt;1,"0-1",IF(Table1[[#This Row],[YearsAtCompany]]&lt;=3,"1-3",IF(Table1[[#This Row],[YearsAtCompany]]&lt;=6,"4-6","7+")))</f>
        <v>4-6</v>
      </c>
      <c r="AH986">
        <f>Table1[[#This Row],[MonthlyIncome]]*12*0.75</f>
        <v>42516</v>
      </c>
      <c r="AI9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86">
        <f>IF(Table1[[#This Row],[Attrition]]="Yes",Table1[[#This Row],[EstReplacementCost]],0)</f>
        <v>0</v>
      </c>
    </row>
    <row r="987" spans="1:36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53</v>
      </c>
      <c r="P987">
        <v>3</v>
      </c>
      <c r="Q987" t="s">
        <v>48</v>
      </c>
      <c r="R987">
        <v>6179</v>
      </c>
      <c r="S987">
        <v>21057</v>
      </c>
      <c r="T987">
        <v>1</v>
      </c>
      <c r="U987" t="s">
        <v>35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tr">
        <f>IF(Table1[[#This Row],[YearsAtCompany]]&lt;1,"0-1",IF(Table1[[#This Row],[YearsAtCompany]]&lt;=3,"1-3",IF(Table1[[#This Row],[YearsAtCompany]]&lt;=6,"4-6","7+")))</f>
        <v>7+</v>
      </c>
      <c r="AH987">
        <f>Table1[[#This Row],[MonthlyIncome]]*12*0.75</f>
        <v>55611</v>
      </c>
      <c r="AI9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87">
        <f>IF(Table1[[#This Row],[Attrition]]="Yes",Table1[[#This Row],[EstReplacementCost]],0)</f>
        <v>55611</v>
      </c>
    </row>
    <row r="988" spans="1:36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48</v>
      </c>
      <c r="R988">
        <v>6120</v>
      </c>
      <c r="S988">
        <v>3567</v>
      </c>
      <c r="T988">
        <v>3</v>
      </c>
      <c r="U988" t="s">
        <v>35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tr">
        <f>IF(Table1[[#This Row],[YearsAtCompany]]&lt;1,"0-1",IF(Table1[[#This Row],[YearsAtCompany]]&lt;=3,"1-3",IF(Table1[[#This Row],[YearsAtCompany]]&lt;=6,"4-6","7+")))</f>
        <v>4-6</v>
      </c>
      <c r="AH988">
        <f>Table1[[#This Row],[MonthlyIncome]]*12*0.75</f>
        <v>55080</v>
      </c>
      <c r="AI9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88">
        <f>IF(Table1[[#This Row],[Attrition]]="Yes",Table1[[#This Row],[EstReplacementCost]],0)</f>
        <v>0</v>
      </c>
    </row>
    <row r="989" spans="1:36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48</v>
      </c>
      <c r="R989">
        <v>10596</v>
      </c>
      <c r="S989">
        <v>15395</v>
      </c>
      <c r="T989">
        <v>2</v>
      </c>
      <c r="U989" t="s">
        <v>43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tr">
        <f>IF(Table1[[#This Row],[YearsAtCompany]]&lt;1,"0-1",IF(Table1[[#This Row],[YearsAtCompany]]&lt;=3,"1-3",IF(Table1[[#This Row],[YearsAtCompany]]&lt;=6,"4-6","7+")))</f>
        <v>4-6</v>
      </c>
      <c r="AH989">
        <f>Table1[[#This Row],[MonthlyIncome]]*12*0.75</f>
        <v>95364</v>
      </c>
      <c r="AI9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89">
        <f>IF(Table1[[#This Row],[Attrition]]="Yes",Table1[[#This Row],[EstReplacementCost]],0)</f>
        <v>0</v>
      </c>
    </row>
    <row r="990" spans="1:36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47</v>
      </c>
      <c r="P990">
        <v>4</v>
      </c>
      <c r="Q990" t="s">
        <v>52</v>
      </c>
      <c r="R990">
        <v>5467</v>
      </c>
      <c r="S990">
        <v>13953</v>
      </c>
      <c r="T990">
        <v>3</v>
      </c>
      <c r="U990" t="s">
        <v>35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tr">
        <f>IF(Table1[[#This Row],[YearsAtCompany]]&lt;1,"0-1",IF(Table1[[#This Row],[YearsAtCompany]]&lt;=3,"1-3",IF(Table1[[#This Row],[YearsAtCompany]]&lt;=6,"4-6","7+")))</f>
        <v>4-6</v>
      </c>
      <c r="AH990">
        <f>Table1[[#This Row],[MonthlyIncome]]*12*0.75</f>
        <v>49203</v>
      </c>
      <c r="AI9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90">
        <f>IF(Table1[[#This Row],[Attrition]]="Yes",Table1[[#This Row],[EstReplacementCost]],0)</f>
        <v>0</v>
      </c>
    </row>
    <row r="991" spans="1:36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47</v>
      </c>
      <c r="P991">
        <v>3</v>
      </c>
      <c r="Q991" t="s">
        <v>48</v>
      </c>
      <c r="R991">
        <v>2996</v>
      </c>
      <c r="S991">
        <v>5182</v>
      </c>
      <c r="T991">
        <v>7</v>
      </c>
      <c r="U991" t="s">
        <v>35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tr">
        <f>IF(Table1[[#This Row],[YearsAtCompany]]&lt;1,"0-1",IF(Table1[[#This Row],[YearsAtCompany]]&lt;=3,"1-3",IF(Table1[[#This Row],[YearsAtCompany]]&lt;=6,"4-6","7+")))</f>
        <v>4-6</v>
      </c>
      <c r="AH991">
        <f>Table1[[#This Row],[MonthlyIncome]]*12*0.75</f>
        <v>26964</v>
      </c>
      <c r="AI9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91">
        <f>IF(Table1[[#This Row],[Attrition]]="Yes",Table1[[#This Row],[EstReplacementCost]],0)</f>
        <v>0</v>
      </c>
    </row>
    <row r="992" spans="1:36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48</v>
      </c>
      <c r="R992">
        <v>9998</v>
      </c>
      <c r="S992">
        <v>19293</v>
      </c>
      <c r="T992">
        <v>6</v>
      </c>
      <c r="U992" t="s">
        <v>43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tr">
        <f>IF(Table1[[#This Row],[YearsAtCompany]]&lt;1,"0-1",IF(Table1[[#This Row],[YearsAtCompany]]&lt;=3,"1-3",IF(Table1[[#This Row],[YearsAtCompany]]&lt;=6,"4-6","7+")))</f>
        <v>4-6</v>
      </c>
      <c r="AH992">
        <f>Table1[[#This Row],[MonthlyIncome]]*12*0.75</f>
        <v>89982</v>
      </c>
      <c r="AI9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92">
        <f>IF(Table1[[#This Row],[Attrition]]="Yes",Table1[[#This Row],[EstReplacementCost]],0)</f>
        <v>0</v>
      </c>
    </row>
    <row r="993" spans="1:36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48</v>
      </c>
      <c r="R993">
        <v>4078</v>
      </c>
      <c r="S993">
        <v>20497</v>
      </c>
      <c r="T993">
        <v>0</v>
      </c>
      <c r="U993" t="s">
        <v>35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tr">
        <f>IF(Table1[[#This Row],[YearsAtCompany]]&lt;1,"0-1",IF(Table1[[#This Row],[YearsAtCompany]]&lt;=3,"1-3",IF(Table1[[#This Row],[YearsAtCompany]]&lt;=6,"4-6","7+")))</f>
        <v>1-3</v>
      </c>
      <c r="AH993">
        <f>Table1[[#This Row],[MonthlyIncome]]*12*0.75</f>
        <v>36702</v>
      </c>
      <c r="AI9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993">
        <f>IF(Table1[[#This Row],[Attrition]]="Yes",Table1[[#This Row],[EstReplacementCost]],0)</f>
        <v>0</v>
      </c>
    </row>
    <row r="994" spans="1:36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54</v>
      </c>
      <c r="P994">
        <v>3</v>
      </c>
      <c r="Q994" t="s">
        <v>48</v>
      </c>
      <c r="R994">
        <v>10920</v>
      </c>
      <c r="S994">
        <v>3449</v>
      </c>
      <c r="T994">
        <v>3</v>
      </c>
      <c r="U994" t="s">
        <v>43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tr">
        <f>IF(Table1[[#This Row],[YearsAtCompany]]&lt;1,"0-1",IF(Table1[[#This Row],[YearsAtCompany]]&lt;=3,"1-3",IF(Table1[[#This Row],[YearsAtCompany]]&lt;=6,"4-6","7+")))</f>
        <v>4-6</v>
      </c>
      <c r="AH994">
        <f>Table1[[#This Row],[MonthlyIncome]]*12*0.75</f>
        <v>98280</v>
      </c>
      <c r="AI9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94">
        <f>IF(Table1[[#This Row],[Attrition]]="Yes",Table1[[#This Row],[EstReplacementCost]],0)</f>
        <v>0</v>
      </c>
    </row>
    <row r="995" spans="1:36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48</v>
      </c>
      <c r="R995">
        <v>6232</v>
      </c>
      <c r="S995">
        <v>12477</v>
      </c>
      <c r="T995">
        <v>2</v>
      </c>
      <c r="U995" t="s">
        <v>43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tr">
        <f>IF(Table1[[#This Row],[YearsAtCompany]]&lt;1,"0-1",IF(Table1[[#This Row],[YearsAtCompany]]&lt;=3,"1-3",IF(Table1[[#This Row],[YearsAtCompany]]&lt;=6,"4-6","7+")))</f>
        <v>1-3</v>
      </c>
      <c r="AH995">
        <f>Table1[[#This Row],[MonthlyIncome]]*12*0.75</f>
        <v>56088</v>
      </c>
      <c r="AI9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995">
        <f>IF(Table1[[#This Row],[Attrition]]="Yes",Table1[[#This Row],[EstReplacementCost]],0)</f>
        <v>0</v>
      </c>
    </row>
    <row r="996" spans="1:36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53</v>
      </c>
      <c r="P996">
        <v>3</v>
      </c>
      <c r="Q996" t="s">
        <v>48</v>
      </c>
      <c r="R996">
        <v>13247</v>
      </c>
      <c r="S996">
        <v>9731</v>
      </c>
      <c r="T996">
        <v>2</v>
      </c>
      <c r="U996" t="s">
        <v>35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tr">
        <f>IF(Table1[[#This Row],[YearsAtCompany]]&lt;1,"0-1",IF(Table1[[#This Row],[YearsAtCompany]]&lt;=3,"1-3",IF(Table1[[#This Row],[YearsAtCompany]]&lt;=6,"4-6","7+")))</f>
        <v>4-6</v>
      </c>
      <c r="AH996">
        <f>Table1[[#This Row],[MonthlyIncome]]*12*0.75</f>
        <v>119223</v>
      </c>
      <c r="AI9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96">
        <f>IF(Table1[[#This Row],[Attrition]]="Yes",Table1[[#This Row],[EstReplacementCost]],0)</f>
        <v>0</v>
      </c>
    </row>
    <row r="997" spans="1:36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47</v>
      </c>
      <c r="P997">
        <v>3</v>
      </c>
      <c r="Q997" t="s">
        <v>41</v>
      </c>
      <c r="R997">
        <v>4081</v>
      </c>
      <c r="S997">
        <v>20003</v>
      </c>
      <c r="T997">
        <v>1</v>
      </c>
      <c r="U997" t="s">
        <v>35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tr">
        <f>IF(Table1[[#This Row],[YearsAtCompany]]&lt;1,"0-1",IF(Table1[[#This Row],[YearsAtCompany]]&lt;=3,"1-3",IF(Table1[[#This Row],[YearsAtCompany]]&lt;=6,"4-6","7+")))</f>
        <v>7+</v>
      </c>
      <c r="AH997">
        <f>Table1[[#This Row],[MonthlyIncome]]*12*0.75</f>
        <v>36729</v>
      </c>
      <c r="AI9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97">
        <f>IF(Table1[[#This Row],[Attrition]]="Yes",Table1[[#This Row],[EstReplacementCost]],0)</f>
        <v>0</v>
      </c>
    </row>
    <row r="998" spans="1:36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48</v>
      </c>
      <c r="R998">
        <v>5769</v>
      </c>
      <c r="S998">
        <v>7100</v>
      </c>
      <c r="T998">
        <v>1</v>
      </c>
      <c r="U998" t="s">
        <v>35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tr">
        <f>IF(Table1[[#This Row],[YearsAtCompany]]&lt;1,"0-1",IF(Table1[[#This Row],[YearsAtCompany]]&lt;=3,"1-3",IF(Table1[[#This Row],[YearsAtCompany]]&lt;=6,"4-6","7+")))</f>
        <v>4-6</v>
      </c>
      <c r="AH998">
        <f>Table1[[#This Row],[MonthlyIncome]]*12*0.75</f>
        <v>51921</v>
      </c>
      <c r="AI9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98">
        <f>IF(Table1[[#This Row],[Attrition]]="Yes",Table1[[#This Row],[EstReplacementCost]],0)</f>
        <v>0</v>
      </c>
    </row>
    <row r="999" spans="1:36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47</v>
      </c>
      <c r="P999">
        <v>3</v>
      </c>
      <c r="Q999" t="s">
        <v>41</v>
      </c>
      <c r="R999">
        <v>2394</v>
      </c>
      <c r="S999">
        <v>25681</v>
      </c>
      <c r="T999">
        <v>1</v>
      </c>
      <c r="U999" t="s">
        <v>35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tr">
        <f>IF(Table1[[#This Row],[YearsAtCompany]]&lt;1,"0-1",IF(Table1[[#This Row],[YearsAtCompany]]&lt;=3,"1-3",IF(Table1[[#This Row],[YearsAtCompany]]&lt;=6,"4-6","7+")))</f>
        <v>7+</v>
      </c>
      <c r="AH999">
        <f>Table1[[#This Row],[MonthlyIncome]]*12*0.75</f>
        <v>21546</v>
      </c>
      <c r="AI9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999">
        <f>IF(Table1[[#This Row],[Attrition]]="Yes",Table1[[#This Row],[EstReplacementCost]],0)</f>
        <v>21546</v>
      </c>
    </row>
    <row r="1000" spans="1:36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47</v>
      </c>
      <c r="P1000">
        <v>4</v>
      </c>
      <c r="Q1000" t="s">
        <v>41</v>
      </c>
      <c r="R1000">
        <v>3904</v>
      </c>
      <c r="S1000">
        <v>4050</v>
      </c>
      <c r="T1000">
        <v>0</v>
      </c>
      <c r="U1000" t="s">
        <v>43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tr">
        <f>IF(Table1[[#This Row],[YearsAtCompany]]&lt;1,"0-1",IF(Table1[[#This Row],[YearsAtCompany]]&lt;=3,"1-3",IF(Table1[[#This Row],[YearsAtCompany]]&lt;=6,"4-6","7+")))</f>
        <v>4-6</v>
      </c>
      <c r="AH1000">
        <f>Table1[[#This Row],[MonthlyIncome]]*12*0.75</f>
        <v>35136</v>
      </c>
      <c r="AI10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00">
        <f>IF(Table1[[#This Row],[Attrition]]="Yes",Table1[[#This Row],[EstReplacementCost]],0)</f>
        <v>0</v>
      </c>
    </row>
    <row r="1001" spans="1:36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56</v>
      </c>
      <c r="P1001">
        <v>1</v>
      </c>
      <c r="Q1001" t="s">
        <v>48</v>
      </c>
      <c r="R1001">
        <v>16799</v>
      </c>
      <c r="S1001">
        <v>16616</v>
      </c>
      <c r="T1001">
        <v>0</v>
      </c>
      <c r="U1001" t="s">
        <v>43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tr">
        <f>IF(Table1[[#This Row],[YearsAtCompany]]&lt;1,"0-1",IF(Table1[[#This Row],[YearsAtCompany]]&lt;=3,"1-3",IF(Table1[[#This Row],[YearsAtCompany]]&lt;=6,"4-6","7+")))</f>
        <v>7+</v>
      </c>
      <c r="AH1001">
        <f>Table1[[#This Row],[MonthlyIncome]]*12*0.75</f>
        <v>151191</v>
      </c>
      <c r="AI10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01">
        <f>IF(Table1[[#This Row],[Attrition]]="Yes",Table1[[#This Row],[EstReplacementCost]],0)</f>
        <v>0</v>
      </c>
    </row>
    <row r="1002" spans="1:36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50</v>
      </c>
      <c r="P1002">
        <v>1</v>
      </c>
      <c r="Q1002" t="s">
        <v>48</v>
      </c>
      <c r="R1002">
        <v>2950</v>
      </c>
      <c r="S1002">
        <v>17363</v>
      </c>
      <c r="T1002">
        <v>9</v>
      </c>
      <c r="U1002" t="s">
        <v>43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tr">
        <f>IF(Table1[[#This Row],[YearsAtCompany]]&lt;1,"0-1",IF(Table1[[#This Row],[YearsAtCompany]]&lt;=3,"1-3",IF(Table1[[#This Row],[YearsAtCompany]]&lt;=6,"4-6","7+")))</f>
        <v>4-6</v>
      </c>
      <c r="AH1002">
        <f>Table1[[#This Row],[MonthlyIncome]]*12*0.75</f>
        <v>26550</v>
      </c>
      <c r="AI10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02">
        <f>IF(Table1[[#This Row],[Attrition]]="Yes",Table1[[#This Row],[EstReplacementCost]],0)</f>
        <v>0</v>
      </c>
    </row>
    <row r="1003" spans="1:36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50</v>
      </c>
      <c r="P1003">
        <v>3</v>
      </c>
      <c r="Q1003" t="s">
        <v>41</v>
      </c>
      <c r="R1003">
        <v>3629</v>
      </c>
      <c r="S1003">
        <v>19106</v>
      </c>
      <c r="T1003">
        <v>4</v>
      </c>
      <c r="U1003" t="s">
        <v>43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tr">
        <f>IF(Table1[[#This Row],[YearsAtCompany]]&lt;1,"0-1",IF(Table1[[#This Row],[YearsAtCompany]]&lt;=3,"1-3",IF(Table1[[#This Row],[YearsAtCompany]]&lt;=6,"4-6","7+")))</f>
        <v>1-3</v>
      </c>
      <c r="AH1003">
        <f>Table1[[#This Row],[MonthlyIncome]]*12*0.75</f>
        <v>32661</v>
      </c>
      <c r="AI10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03">
        <f>IF(Table1[[#This Row],[Attrition]]="Yes",Table1[[#This Row],[EstReplacementCost]],0)</f>
        <v>0</v>
      </c>
    </row>
    <row r="1004" spans="1:36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53</v>
      </c>
      <c r="P1004">
        <v>4</v>
      </c>
      <c r="Q1004" t="s">
        <v>41</v>
      </c>
      <c r="R1004">
        <v>9362</v>
      </c>
      <c r="S1004">
        <v>19944</v>
      </c>
      <c r="T1004">
        <v>2</v>
      </c>
      <c r="U1004" t="s">
        <v>43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tr">
        <f>IF(Table1[[#This Row],[YearsAtCompany]]&lt;1,"0-1",IF(Table1[[#This Row],[YearsAtCompany]]&lt;=3,"1-3",IF(Table1[[#This Row],[YearsAtCompany]]&lt;=6,"4-6","7+")))</f>
        <v>1-3</v>
      </c>
      <c r="AH1004">
        <f>Table1[[#This Row],[MonthlyIncome]]*12*0.75</f>
        <v>84258</v>
      </c>
      <c r="AI10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04">
        <f>IF(Table1[[#This Row],[Attrition]]="Yes",Table1[[#This Row],[EstReplacementCost]],0)</f>
        <v>0</v>
      </c>
    </row>
    <row r="1005" spans="1:36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50</v>
      </c>
      <c r="P1005">
        <v>4</v>
      </c>
      <c r="Q1005" t="s">
        <v>48</v>
      </c>
      <c r="R1005">
        <v>3229</v>
      </c>
      <c r="S1005">
        <v>4910</v>
      </c>
      <c r="T1005">
        <v>4</v>
      </c>
      <c r="U1005" t="s">
        <v>43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tr">
        <f>IF(Table1[[#This Row],[YearsAtCompany]]&lt;1,"0-1",IF(Table1[[#This Row],[YearsAtCompany]]&lt;=3,"1-3",IF(Table1[[#This Row],[YearsAtCompany]]&lt;=6,"4-6","7+")))</f>
        <v>1-3</v>
      </c>
      <c r="AH1005">
        <f>Table1[[#This Row],[MonthlyIncome]]*12*0.75</f>
        <v>29061</v>
      </c>
      <c r="AI10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05">
        <f>IF(Table1[[#This Row],[Attrition]]="Yes",Table1[[#This Row],[EstReplacementCost]],0)</f>
        <v>0</v>
      </c>
    </row>
    <row r="1006" spans="1:36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50</v>
      </c>
      <c r="P1006">
        <v>1</v>
      </c>
      <c r="Q1006" t="s">
        <v>41</v>
      </c>
      <c r="R1006">
        <v>3578</v>
      </c>
      <c r="S1006">
        <v>23577</v>
      </c>
      <c r="T1006">
        <v>0</v>
      </c>
      <c r="U1006" t="s">
        <v>43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tr">
        <f>IF(Table1[[#This Row],[YearsAtCompany]]&lt;1,"0-1",IF(Table1[[#This Row],[YearsAtCompany]]&lt;=3,"1-3",IF(Table1[[#This Row],[YearsAtCompany]]&lt;=6,"4-6","7+")))</f>
        <v>7+</v>
      </c>
      <c r="AH1006">
        <f>Table1[[#This Row],[MonthlyIncome]]*12*0.75</f>
        <v>32202</v>
      </c>
      <c r="AI10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06">
        <f>IF(Table1[[#This Row],[Attrition]]="Yes",Table1[[#This Row],[EstReplacementCost]],0)</f>
        <v>0</v>
      </c>
    </row>
    <row r="1007" spans="1:36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61</v>
      </c>
      <c r="P1007">
        <v>1</v>
      </c>
      <c r="Q1007" t="s">
        <v>41</v>
      </c>
      <c r="R1007">
        <v>7988</v>
      </c>
      <c r="S1007">
        <v>9769</v>
      </c>
      <c r="T1007">
        <v>1</v>
      </c>
      <c r="U1007" t="s">
        <v>43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tr">
        <f>IF(Table1[[#This Row],[YearsAtCompany]]&lt;1,"0-1",IF(Table1[[#This Row],[YearsAtCompany]]&lt;=3,"1-3",IF(Table1[[#This Row],[YearsAtCompany]]&lt;=6,"4-6","7+")))</f>
        <v>7+</v>
      </c>
      <c r="AH1007">
        <f>Table1[[#This Row],[MonthlyIncome]]*12*0.75</f>
        <v>71892</v>
      </c>
      <c r="AI10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07">
        <f>IF(Table1[[#This Row],[Attrition]]="Yes",Table1[[#This Row],[EstReplacementCost]],0)</f>
        <v>0</v>
      </c>
    </row>
    <row r="1008" spans="1:36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50</v>
      </c>
      <c r="P1008">
        <v>1</v>
      </c>
      <c r="Q1008" t="s">
        <v>41</v>
      </c>
      <c r="R1008">
        <v>4284</v>
      </c>
      <c r="S1008">
        <v>22710</v>
      </c>
      <c r="T1008">
        <v>3</v>
      </c>
      <c r="U1008" t="s">
        <v>43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tr">
        <f>IF(Table1[[#This Row],[YearsAtCompany]]&lt;1,"0-1",IF(Table1[[#This Row],[YearsAtCompany]]&lt;=3,"1-3",IF(Table1[[#This Row],[YearsAtCompany]]&lt;=6,"4-6","7+")))</f>
        <v>4-6</v>
      </c>
      <c r="AH1008">
        <f>Table1[[#This Row],[MonthlyIncome]]*12*0.75</f>
        <v>38556</v>
      </c>
      <c r="AI10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08">
        <f>IF(Table1[[#This Row],[Attrition]]="Yes",Table1[[#This Row],[EstReplacementCost]],0)</f>
        <v>38556</v>
      </c>
    </row>
    <row r="1009" spans="1:36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54</v>
      </c>
      <c r="P1009">
        <v>4</v>
      </c>
      <c r="Q1009" t="s">
        <v>41</v>
      </c>
      <c r="R1009">
        <v>7553</v>
      </c>
      <c r="S1009">
        <v>22930</v>
      </c>
      <c r="T1009">
        <v>0</v>
      </c>
      <c r="U1009" t="s">
        <v>35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tr">
        <f>IF(Table1[[#This Row],[YearsAtCompany]]&lt;1,"0-1",IF(Table1[[#This Row],[YearsAtCompany]]&lt;=3,"1-3",IF(Table1[[#This Row],[YearsAtCompany]]&lt;=6,"4-6","7+")))</f>
        <v>7+</v>
      </c>
      <c r="AH1009">
        <f>Table1[[#This Row],[MonthlyIncome]]*12*0.75</f>
        <v>67977</v>
      </c>
      <c r="AI10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09">
        <f>IF(Table1[[#This Row],[Attrition]]="Yes",Table1[[#This Row],[EstReplacementCost]],0)</f>
        <v>67977</v>
      </c>
    </row>
    <row r="1010" spans="1:36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58</v>
      </c>
      <c r="P1010">
        <v>4</v>
      </c>
      <c r="Q1010" t="s">
        <v>41</v>
      </c>
      <c r="R1010">
        <v>17328</v>
      </c>
      <c r="S1010">
        <v>5652</v>
      </c>
      <c r="T1010">
        <v>6</v>
      </c>
      <c r="U1010" t="s">
        <v>43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tr">
        <f>IF(Table1[[#This Row],[YearsAtCompany]]&lt;1,"0-1",IF(Table1[[#This Row],[YearsAtCompany]]&lt;=3,"1-3",IF(Table1[[#This Row],[YearsAtCompany]]&lt;=6,"4-6","7+")))</f>
        <v>7+</v>
      </c>
      <c r="AH1010">
        <f>Table1[[#This Row],[MonthlyIncome]]*12*0.75</f>
        <v>155952</v>
      </c>
      <c r="AI10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10">
        <f>IF(Table1[[#This Row],[Attrition]]="Yes",Table1[[#This Row],[EstReplacementCost]],0)</f>
        <v>0</v>
      </c>
    </row>
    <row r="1011" spans="1:36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58</v>
      </c>
      <c r="P1011">
        <v>1</v>
      </c>
      <c r="Q1011" t="s">
        <v>48</v>
      </c>
      <c r="R1011">
        <v>19701</v>
      </c>
      <c r="S1011">
        <v>22456</v>
      </c>
      <c r="T1011">
        <v>3</v>
      </c>
      <c r="U1011" t="s">
        <v>35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tr">
        <f>IF(Table1[[#This Row],[YearsAtCompany]]&lt;1,"0-1",IF(Table1[[#This Row],[YearsAtCompany]]&lt;=3,"1-3",IF(Table1[[#This Row],[YearsAtCompany]]&lt;=6,"4-6","7+")))</f>
        <v>7+</v>
      </c>
      <c r="AH1011">
        <f>Table1[[#This Row],[MonthlyIncome]]*12*0.75</f>
        <v>177309</v>
      </c>
      <c r="AI10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11">
        <f>IF(Table1[[#This Row],[Attrition]]="Yes",Table1[[#This Row],[EstReplacementCost]],0)</f>
        <v>0</v>
      </c>
    </row>
    <row r="1012" spans="1:36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58</v>
      </c>
      <c r="P1012">
        <v>4</v>
      </c>
      <c r="Q1012" t="s">
        <v>52</v>
      </c>
      <c r="R1012">
        <v>14732</v>
      </c>
      <c r="S1012">
        <v>12414</v>
      </c>
      <c r="T1012">
        <v>2</v>
      </c>
      <c r="U1012" t="s">
        <v>43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tr">
        <f>IF(Table1[[#This Row],[YearsAtCompany]]&lt;1,"0-1",IF(Table1[[#This Row],[YearsAtCompany]]&lt;=3,"1-3",IF(Table1[[#This Row],[YearsAtCompany]]&lt;=6,"4-6","7+")))</f>
        <v>7+</v>
      </c>
      <c r="AH1012">
        <f>Table1[[#This Row],[MonthlyIncome]]*12*0.75</f>
        <v>132588</v>
      </c>
      <c r="AI10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12">
        <f>IF(Table1[[#This Row],[Attrition]]="Yes",Table1[[#This Row],[EstReplacementCost]],0)</f>
        <v>0</v>
      </c>
    </row>
    <row r="1013" spans="1:36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>
        <v>9278</v>
      </c>
      <c r="S1013">
        <v>20763</v>
      </c>
      <c r="T1013">
        <v>3</v>
      </c>
      <c r="U1013" t="s">
        <v>35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tr">
        <f>IF(Table1[[#This Row],[YearsAtCompany]]&lt;1,"0-1",IF(Table1[[#This Row],[YearsAtCompany]]&lt;=3,"1-3",IF(Table1[[#This Row],[YearsAtCompany]]&lt;=6,"4-6","7+")))</f>
        <v>4-6</v>
      </c>
      <c r="AH1013">
        <f>Table1[[#This Row],[MonthlyIncome]]*12*0.75</f>
        <v>83502</v>
      </c>
      <c r="AI10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13">
        <f>IF(Table1[[#This Row],[Attrition]]="Yes",Table1[[#This Row],[EstReplacementCost]],0)</f>
        <v>0</v>
      </c>
    </row>
    <row r="1014" spans="1:36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57</v>
      </c>
      <c r="P1014">
        <v>3</v>
      </c>
      <c r="Q1014" t="s">
        <v>41</v>
      </c>
      <c r="R1014">
        <v>1359</v>
      </c>
      <c r="S1014">
        <v>16154</v>
      </c>
      <c r="T1014">
        <v>1</v>
      </c>
      <c r="U1014" t="s">
        <v>43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tr">
        <f>IF(Table1[[#This Row],[YearsAtCompany]]&lt;1,"0-1",IF(Table1[[#This Row],[YearsAtCompany]]&lt;=3,"1-3",IF(Table1[[#This Row],[YearsAtCompany]]&lt;=6,"4-6","7+")))</f>
        <v>1-3</v>
      </c>
      <c r="AH1014">
        <f>Table1[[#This Row],[MonthlyIncome]]*12*0.75</f>
        <v>12231</v>
      </c>
      <c r="AI10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14">
        <f>IF(Table1[[#This Row],[Attrition]]="Yes",Table1[[#This Row],[EstReplacementCost]],0)</f>
        <v>12231</v>
      </c>
    </row>
    <row r="1015" spans="1:36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52</v>
      </c>
      <c r="R1015">
        <v>4779</v>
      </c>
      <c r="S1015">
        <v>12761</v>
      </c>
      <c r="T1015">
        <v>7</v>
      </c>
      <c r="U1015" t="s">
        <v>43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tr">
        <f>IF(Table1[[#This Row],[YearsAtCompany]]&lt;1,"0-1",IF(Table1[[#This Row],[YearsAtCompany]]&lt;=3,"1-3",IF(Table1[[#This Row],[YearsAtCompany]]&lt;=6,"4-6","7+")))</f>
        <v>1-3</v>
      </c>
      <c r="AH1015">
        <f>Table1[[#This Row],[MonthlyIncome]]*12*0.75</f>
        <v>43011</v>
      </c>
      <c r="AI10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15">
        <f>IF(Table1[[#This Row],[Attrition]]="Yes",Table1[[#This Row],[EstReplacementCost]],0)</f>
        <v>0</v>
      </c>
    </row>
    <row r="1016" spans="1:36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58</v>
      </c>
      <c r="P1016">
        <v>2</v>
      </c>
      <c r="Q1016" t="s">
        <v>41</v>
      </c>
      <c r="R1016">
        <v>16422</v>
      </c>
      <c r="S1016">
        <v>8847</v>
      </c>
      <c r="T1016">
        <v>3</v>
      </c>
      <c r="U1016" t="s">
        <v>43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tr">
        <f>IF(Table1[[#This Row],[YearsAtCompany]]&lt;1,"0-1",IF(Table1[[#This Row],[YearsAtCompany]]&lt;=3,"1-3",IF(Table1[[#This Row],[YearsAtCompany]]&lt;=6,"4-6","7+")))</f>
        <v>1-3</v>
      </c>
      <c r="AH1016">
        <f>Table1[[#This Row],[MonthlyIncome]]*12*0.75</f>
        <v>147798</v>
      </c>
      <c r="AI10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16">
        <f>IF(Table1[[#This Row],[Attrition]]="Yes",Table1[[#This Row],[EstReplacementCost]],0)</f>
        <v>0</v>
      </c>
    </row>
    <row r="1017" spans="1:36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47</v>
      </c>
      <c r="P1017">
        <v>1</v>
      </c>
      <c r="Q1017" t="s">
        <v>52</v>
      </c>
      <c r="R1017">
        <v>2996</v>
      </c>
      <c r="S1017">
        <v>20284</v>
      </c>
      <c r="T1017">
        <v>5</v>
      </c>
      <c r="U1017" t="s">
        <v>43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tr">
        <f>IF(Table1[[#This Row],[YearsAtCompany]]&lt;1,"0-1",IF(Table1[[#This Row],[YearsAtCompany]]&lt;=3,"1-3",IF(Table1[[#This Row],[YearsAtCompany]]&lt;=6,"4-6","7+")))</f>
        <v>4-6</v>
      </c>
      <c r="AH1017">
        <f>Table1[[#This Row],[MonthlyIncome]]*12*0.75</f>
        <v>26964</v>
      </c>
      <c r="AI10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17">
        <f>IF(Table1[[#This Row],[Attrition]]="Yes",Table1[[#This Row],[EstReplacementCost]],0)</f>
        <v>0</v>
      </c>
    </row>
    <row r="1018" spans="1:36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47</v>
      </c>
      <c r="P1018">
        <v>2</v>
      </c>
      <c r="Q1018" t="s">
        <v>41</v>
      </c>
      <c r="R1018">
        <v>1261</v>
      </c>
      <c r="S1018">
        <v>22262</v>
      </c>
      <c r="T1018">
        <v>1</v>
      </c>
      <c r="U1018" t="s">
        <v>43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tr">
        <f>IF(Table1[[#This Row],[YearsAtCompany]]&lt;1,"0-1",IF(Table1[[#This Row],[YearsAtCompany]]&lt;=3,"1-3",IF(Table1[[#This Row],[YearsAtCompany]]&lt;=6,"4-6","7+")))</f>
        <v>1-3</v>
      </c>
      <c r="AH1018">
        <f>Table1[[#This Row],[MonthlyIncome]]*12*0.75</f>
        <v>11349</v>
      </c>
      <c r="AI10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18">
        <f>IF(Table1[[#This Row],[Attrition]]="Yes",Table1[[#This Row],[EstReplacementCost]],0)</f>
        <v>11349</v>
      </c>
    </row>
    <row r="1019" spans="1:36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50</v>
      </c>
      <c r="P1019">
        <v>1</v>
      </c>
      <c r="Q1019" t="s">
        <v>48</v>
      </c>
      <c r="R1019">
        <v>2099</v>
      </c>
      <c r="S1019">
        <v>7679</v>
      </c>
      <c r="T1019">
        <v>0</v>
      </c>
      <c r="U1019" t="s">
        <v>43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tr">
        <f>IF(Table1[[#This Row],[YearsAtCompany]]&lt;1,"0-1",IF(Table1[[#This Row],[YearsAtCompany]]&lt;=3,"1-3",IF(Table1[[#This Row],[YearsAtCompany]]&lt;=6,"4-6","7+")))</f>
        <v>4-6</v>
      </c>
      <c r="AH1019">
        <f>Table1[[#This Row],[MonthlyIncome]]*12*0.75</f>
        <v>18891</v>
      </c>
      <c r="AI10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19">
        <f>IF(Table1[[#This Row],[Attrition]]="Yes",Table1[[#This Row],[EstReplacementCost]],0)</f>
        <v>0</v>
      </c>
    </row>
    <row r="1020" spans="1:36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50</v>
      </c>
      <c r="P1020">
        <v>4</v>
      </c>
      <c r="Q1020" t="s">
        <v>41</v>
      </c>
      <c r="R1020">
        <v>5810</v>
      </c>
      <c r="S1020">
        <v>22604</v>
      </c>
      <c r="T1020">
        <v>1</v>
      </c>
      <c r="U1020" t="s">
        <v>43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tr">
        <f>IF(Table1[[#This Row],[YearsAtCompany]]&lt;1,"0-1",IF(Table1[[#This Row],[YearsAtCompany]]&lt;=3,"1-3",IF(Table1[[#This Row],[YearsAtCompany]]&lt;=6,"4-6","7+")))</f>
        <v>7+</v>
      </c>
      <c r="AH1020">
        <f>Table1[[#This Row],[MonthlyIncome]]*12*0.75</f>
        <v>52290</v>
      </c>
      <c r="AI10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20">
        <f>IF(Table1[[#This Row],[Attrition]]="Yes",Table1[[#This Row],[EstReplacementCost]],0)</f>
        <v>0</v>
      </c>
    </row>
    <row r="1021" spans="1:36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48</v>
      </c>
      <c r="R1021">
        <v>5647</v>
      </c>
      <c r="S1021">
        <v>13494</v>
      </c>
      <c r="T1021">
        <v>4</v>
      </c>
      <c r="U1021" t="s">
        <v>43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tr">
        <f>IF(Table1[[#This Row],[YearsAtCompany]]&lt;1,"0-1",IF(Table1[[#This Row],[YearsAtCompany]]&lt;=3,"1-3",IF(Table1[[#This Row],[YearsAtCompany]]&lt;=6,"4-6","7+")))</f>
        <v>1-3</v>
      </c>
      <c r="AH1021">
        <f>Table1[[#This Row],[MonthlyIncome]]*12*0.75</f>
        <v>50823</v>
      </c>
      <c r="AI10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21">
        <f>IF(Table1[[#This Row],[Attrition]]="Yes",Table1[[#This Row],[EstReplacementCost]],0)</f>
        <v>0</v>
      </c>
    </row>
    <row r="1022" spans="1:36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47</v>
      </c>
      <c r="P1022">
        <v>4</v>
      </c>
      <c r="Q1022" t="s">
        <v>48</v>
      </c>
      <c r="R1022">
        <v>3420</v>
      </c>
      <c r="S1022">
        <v>10205</v>
      </c>
      <c r="T1022">
        <v>7</v>
      </c>
      <c r="U1022" t="s">
        <v>43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tr">
        <f>IF(Table1[[#This Row],[YearsAtCompany]]&lt;1,"0-1",IF(Table1[[#This Row],[YearsAtCompany]]&lt;=3,"1-3",IF(Table1[[#This Row],[YearsAtCompany]]&lt;=6,"4-6","7+")))</f>
        <v>4-6</v>
      </c>
      <c r="AH1022">
        <f>Table1[[#This Row],[MonthlyIncome]]*12*0.75</f>
        <v>30780</v>
      </c>
      <c r="AI10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22">
        <f>IF(Table1[[#This Row],[Attrition]]="Yes",Table1[[#This Row],[EstReplacementCost]],0)</f>
        <v>0</v>
      </c>
    </row>
    <row r="1023" spans="1:36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57</v>
      </c>
      <c r="P1023">
        <v>1</v>
      </c>
      <c r="Q1023" t="s">
        <v>48</v>
      </c>
      <c r="R1023">
        <v>4400</v>
      </c>
      <c r="S1023">
        <v>15182</v>
      </c>
      <c r="T1023">
        <v>3</v>
      </c>
      <c r="U1023" t="s">
        <v>43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tr">
        <f>IF(Table1[[#This Row],[YearsAtCompany]]&lt;1,"0-1",IF(Table1[[#This Row],[YearsAtCompany]]&lt;=3,"1-3",IF(Table1[[#This Row],[YearsAtCompany]]&lt;=6,"4-6","7+")))</f>
        <v>1-3</v>
      </c>
      <c r="AH1023">
        <f>Table1[[#This Row],[MonthlyIncome]]*12*0.75</f>
        <v>39600</v>
      </c>
      <c r="AI10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23">
        <f>IF(Table1[[#This Row],[Attrition]]="Yes",Table1[[#This Row],[EstReplacementCost]],0)</f>
        <v>39600</v>
      </c>
    </row>
    <row r="1024" spans="1:36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50</v>
      </c>
      <c r="P1024">
        <v>3</v>
      </c>
      <c r="Q1024" t="s">
        <v>41</v>
      </c>
      <c r="R1024">
        <v>3500</v>
      </c>
      <c r="S1024">
        <v>25470</v>
      </c>
      <c r="T1024">
        <v>0</v>
      </c>
      <c r="U1024" t="s">
        <v>43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tr">
        <f>IF(Table1[[#This Row],[YearsAtCompany]]&lt;1,"0-1",IF(Table1[[#This Row],[YearsAtCompany]]&lt;=3,"1-3",IF(Table1[[#This Row],[YearsAtCompany]]&lt;=6,"4-6","7+")))</f>
        <v>4-6</v>
      </c>
      <c r="AH1024">
        <f>Table1[[#This Row],[MonthlyIncome]]*12*0.75</f>
        <v>31500</v>
      </c>
      <c r="AI10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24">
        <f>IF(Table1[[#This Row],[Attrition]]="Yes",Table1[[#This Row],[EstReplacementCost]],0)</f>
        <v>0</v>
      </c>
    </row>
    <row r="1025" spans="1:36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47</v>
      </c>
      <c r="P1025">
        <v>1</v>
      </c>
      <c r="Q1025" t="s">
        <v>48</v>
      </c>
      <c r="R1025">
        <v>2066</v>
      </c>
      <c r="S1025">
        <v>10494</v>
      </c>
      <c r="T1025">
        <v>2</v>
      </c>
      <c r="U1025" t="s">
        <v>43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tr">
        <f>IF(Table1[[#This Row],[YearsAtCompany]]&lt;1,"0-1",IF(Table1[[#This Row],[YearsAtCompany]]&lt;=3,"1-3",IF(Table1[[#This Row],[YearsAtCompany]]&lt;=6,"4-6","7+")))</f>
        <v>1-3</v>
      </c>
      <c r="AH1025">
        <f>Table1[[#This Row],[MonthlyIncome]]*12*0.75</f>
        <v>18594</v>
      </c>
      <c r="AI10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25">
        <f>IF(Table1[[#This Row],[Attrition]]="Yes",Table1[[#This Row],[EstReplacementCost]],0)</f>
        <v>0</v>
      </c>
    </row>
    <row r="1026" spans="1:36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58</v>
      </c>
      <c r="P1026">
        <v>3</v>
      </c>
      <c r="Q1026" t="s">
        <v>48</v>
      </c>
      <c r="R1026">
        <v>17169</v>
      </c>
      <c r="S1026">
        <v>26703</v>
      </c>
      <c r="T1026">
        <v>3</v>
      </c>
      <c r="U1026" t="s">
        <v>43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tr">
        <f>IF(Table1[[#This Row],[YearsAtCompany]]&lt;1,"0-1",IF(Table1[[#This Row],[YearsAtCompany]]&lt;=3,"1-3",IF(Table1[[#This Row],[YearsAtCompany]]&lt;=6,"4-6","7+")))</f>
        <v>7+</v>
      </c>
      <c r="AH1026">
        <f>Table1[[#This Row],[MonthlyIncome]]*12*0.75</f>
        <v>154521</v>
      </c>
      <c r="AI10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26">
        <f>IF(Table1[[#This Row],[Attrition]]="Yes",Table1[[#This Row],[EstReplacementCost]],0)</f>
        <v>0</v>
      </c>
    </row>
    <row r="1027" spans="1:36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48</v>
      </c>
      <c r="R1027">
        <v>4162</v>
      </c>
      <c r="S1027">
        <v>15211</v>
      </c>
      <c r="T1027">
        <v>1</v>
      </c>
      <c r="U1027" t="s">
        <v>35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tr">
        <f>IF(Table1[[#This Row],[YearsAtCompany]]&lt;1,"0-1",IF(Table1[[#This Row],[YearsAtCompany]]&lt;=3,"1-3",IF(Table1[[#This Row],[YearsAtCompany]]&lt;=6,"4-6","7+")))</f>
        <v>4-6</v>
      </c>
      <c r="AH1027">
        <f>Table1[[#This Row],[MonthlyIncome]]*12*0.75</f>
        <v>37458</v>
      </c>
      <c r="AI10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27">
        <f>IF(Table1[[#This Row],[Attrition]]="Yes",Table1[[#This Row],[EstReplacementCost]],0)</f>
        <v>0</v>
      </c>
    </row>
    <row r="1028" spans="1:36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48</v>
      </c>
      <c r="R1028">
        <v>9204</v>
      </c>
      <c r="S1028">
        <v>23343</v>
      </c>
      <c r="T1028">
        <v>4</v>
      </c>
      <c r="U1028" t="s">
        <v>43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tr">
        <f>IF(Table1[[#This Row],[YearsAtCompany]]&lt;1,"0-1",IF(Table1[[#This Row],[YearsAtCompany]]&lt;=3,"1-3",IF(Table1[[#This Row],[YearsAtCompany]]&lt;=6,"4-6","7+")))</f>
        <v>4-6</v>
      </c>
      <c r="AH1028">
        <f>Table1[[#This Row],[MonthlyIncome]]*12*0.75</f>
        <v>82836</v>
      </c>
      <c r="AI10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28">
        <f>IF(Table1[[#This Row],[Attrition]]="Yes",Table1[[#This Row],[EstReplacementCost]],0)</f>
        <v>0</v>
      </c>
    </row>
    <row r="1029" spans="1:36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50</v>
      </c>
      <c r="P1029">
        <v>2</v>
      </c>
      <c r="Q1029" t="s">
        <v>48</v>
      </c>
      <c r="R1029">
        <v>3294</v>
      </c>
      <c r="S1029">
        <v>3708</v>
      </c>
      <c r="T1029">
        <v>5</v>
      </c>
      <c r="U1029" t="s">
        <v>43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tr">
        <f>IF(Table1[[#This Row],[YearsAtCompany]]&lt;1,"0-1",IF(Table1[[#This Row],[YearsAtCompany]]&lt;=3,"1-3",IF(Table1[[#This Row],[YearsAtCompany]]&lt;=6,"4-6","7+")))</f>
        <v>4-6</v>
      </c>
      <c r="AH1029">
        <f>Table1[[#This Row],[MonthlyIncome]]*12*0.75</f>
        <v>29646</v>
      </c>
      <c r="AI10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29">
        <f>IF(Table1[[#This Row],[Attrition]]="Yes",Table1[[#This Row],[EstReplacementCost]],0)</f>
        <v>0</v>
      </c>
    </row>
    <row r="1030" spans="1:36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47</v>
      </c>
      <c r="P1030">
        <v>3</v>
      </c>
      <c r="Q1030" t="s">
        <v>48</v>
      </c>
      <c r="R1030">
        <v>2127</v>
      </c>
      <c r="S1030">
        <v>5561</v>
      </c>
      <c r="T1030">
        <v>2</v>
      </c>
      <c r="U1030" t="s">
        <v>35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tr">
        <f>IF(Table1[[#This Row],[YearsAtCompany]]&lt;1,"0-1",IF(Table1[[#This Row],[YearsAtCompany]]&lt;=3,"1-3",IF(Table1[[#This Row],[YearsAtCompany]]&lt;=6,"4-6","7+")))</f>
        <v>4-6</v>
      </c>
      <c r="AH1030">
        <f>Table1[[#This Row],[MonthlyIncome]]*12*0.75</f>
        <v>19143</v>
      </c>
      <c r="AI10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30">
        <f>IF(Table1[[#This Row],[Attrition]]="Yes",Table1[[#This Row],[EstReplacementCost]],0)</f>
        <v>0</v>
      </c>
    </row>
    <row r="1031" spans="1:36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50</v>
      </c>
      <c r="P1031">
        <v>3</v>
      </c>
      <c r="Q1031" t="s">
        <v>52</v>
      </c>
      <c r="R1031">
        <v>3975</v>
      </c>
      <c r="S1031">
        <v>23099</v>
      </c>
      <c r="T1031">
        <v>3</v>
      </c>
      <c r="U1031" t="s">
        <v>43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tr">
        <f>IF(Table1[[#This Row],[YearsAtCompany]]&lt;1,"0-1",IF(Table1[[#This Row],[YearsAtCompany]]&lt;=3,"1-3",IF(Table1[[#This Row],[YearsAtCompany]]&lt;=6,"4-6","7+")))</f>
        <v>7+</v>
      </c>
      <c r="AH1031">
        <f>Table1[[#This Row],[MonthlyIncome]]*12*0.75</f>
        <v>35775</v>
      </c>
      <c r="AI10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31">
        <f>IF(Table1[[#This Row],[Attrition]]="Yes",Table1[[#This Row],[EstReplacementCost]],0)</f>
        <v>0</v>
      </c>
    </row>
    <row r="1032" spans="1:36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52</v>
      </c>
      <c r="R1032">
        <v>10793</v>
      </c>
      <c r="S1032">
        <v>8386</v>
      </c>
      <c r="T1032">
        <v>1</v>
      </c>
      <c r="U1032" t="s">
        <v>43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tr">
        <f>IF(Table1[[#This Row],[YearsAtCompany]]&lt;1,"0-1",IF(Table1[[#This Row],[YearsAtCompany]]&lt;=3,"1-3",IF(Table1[[#This Row],[YearsAtCompany]]&lt;=6,"4-6","7+")))</f>
        <v>7+</v>
      </c>
      <c r="AH1032">
        <f>Table1[[#This Row],[MonthlyIncome]]*12*0.75</f>
        <v>97137</v>
      </c>
      <c r="AI10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32">
        <f>IF(Table1[[#This Row],[Attrition]]="Yes",Table1[[#This Row],[EstReplacementCost]],0)</f>
        <v>0</v>
      </c>
    </row>
    <row r="1033" spans="1:36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52</v>
      </c>
      <c r="R1033">
        <v>10096</v>
      </c>
      <c r="S1033">
        <v>15986</v>
      </c>
      <c r="T1033">
        <v>4</v>
      </c>
      <c r="U1033" t="s">
        <v>43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tr">
        <f>IF(Table1[[#This Row],[YearsAtCompany]]&lt;1,"0-1",IF(Table1[[#This Row],[YearsAtCompany]]&lt;=3,"1-3",IF(Table1[[#This Row],[YearsAtCompany]]&lt;=6,"4-6","7+")))</f>
        <v>7+</v>
      </c>
      <c r="AH1033">
        <f>Table1[[#This Row],[MonthlyIncome]]*12*0.75</f>
        <v>90864</v>
      </c>
      <c r="AI10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33">
        <f>IF(Table1[[#This Row],[Attrition]]="Yes",Table1[[#This Row],[EstReplacementCost]],0)</f>
        <v>90864</v>
      </c>
    </row>
    <row r="1034" spans="1:36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50</v>
      </c>
      <c r="P1034">
        <v>1</v>
      </c>
      <c r="Q1034" t="s">
        <v>41</v>
      </c>
      <c r="R1034">
        <v>3646</v>
      </c>
      <c r="S1034">
        <v>17181</v>
      </c>
      <c r="T1034">
        <v>2</v>
      </c>
      <c r="U1034" t="s">
        <v>35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tr">
        <f>IF(Table1[[#This Row],[YearsAtCompany]]&lt;1,"0-1",IF(Table1[[#This Row],[YearsAtCompany]]&lt;=3,"1-3",IF(Table1[[#This Row],[YearsAtCompany]]&lt;=6,"4-6","7+")))</f>
        <v>1-3</v>
      </c>
      <c r="AH1034">
        <f>Table1[[#This Row],[MonthlyIncome]]*12*0.75</f>
        <v>32814</v>
      </c>
      <c r="AI10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034">
        <f>IF(Table1[[#This Row],[Attrition]]="Yes",Table1[[#This Row],[EstReplacementCost]],0)</f>
        <v>32814</v>
      </c>
    </row>
    <row r="1035" spans="1:36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53</v>
      </c>
      <c r="P1035">
        <v>2</v>
      </c>
      <c r="Q1035" t="s">
        <v>41</v>
      </c>
      <c r="R1035">
        <v>7446</v>
      </c>
      <c r="S1035">
        <v>8931</v>
      </c>
      <c r="T1035">
        <v>1</v>
      </c>
      <c r="U1035" t="s">
        <v>43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tr">
        <f>IF(Table1[[#This Row],[YearsAtCompany]]&lt;1,"0-1",IF(Table1[[#This Row],[YearsAtCompany]]&lt;=3,"1-3",IF(Table1[[#This Row],[YearsAtCompany]]&lt;=6,"4-6","7+")))</f>
        <v>7+</v>
      </c>
      <c r="AH1035">
        <f>Table1[[#This Row],[MonthlyIncome]]*12*0.75</f>
        <v>67014</v>
      </c>
      <c r="AI10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35">
        <f>IF(Table1[[#This Row],[Attrition]]="Yes",Table1[[#This Row],[EstReplacementCost]],0)</f>
        <v>67014</v>
      </c>
    </row>
    <row r="1036" spans="1:36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54</v>
      </c>
      <c r="P1036">
        <v>1</v>
      </c>
      <c r="Q1036" t="s">
        <v>52</v>
      </c>
      <c r="R1036">
        <v>10851</v>
      </c>
      <c r="S1036">
        <v>19863</v>
      </c>
      <c r="T1036">
        <v>2</v>
      </c>
      <c r="U1036" t="s">
        <v>35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tr">
        <f>IF(Table1[[#This Row],[YearsAtCompany]]&lt;1,"0-1",IF(Table1[[#This Row],[YearsAtCompany]]&lt;=3,"1-3",IF(Table1[[#This Row],[YearsAtCompany]]&lt;=6,"4-6","7+")))</f>
        <v>7+</v>
      </c>
      <c r="AH1036">
        <f>Table1[[#This Row],[MonthlyIncome]]*12*0.75</f>
        <v>97659</v>
      </c>
      <c r="AI10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36">
        <f>IF(Table1[[#This Row],[Attrition]]="Yes",Table1[[#This Row],[EstReplacementCost]],0)</f>
        <v>0</v>
      </c>
    </row>
    <row r="1037" spans="1:36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61</v>
      </c>
      <c r="P1037">
        <v>2</v>
      </c>
      <c r="Q1037" t="s">
        <v>41</v>
      </c>
      <c r="R1037">
        <v>2109</v>
      </c>
      <c r="S1037">
        <v>24609</v>
      </c>
      <c r="T1037">
        <v>9</v>
      </c>
      <c r="U1037" t="s">
        <v>43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tr">
        <f>IF(Table1[[#This Row],[YearsAtCompany]]&lt;1,"0-1",IF(Table1[[#This Row],[YearsAtCompany]]&lt;=3,"1-3",IF(Table1[[#This Row],[YearsAtCompany]]&lt;=6,"4-6","7+")))</f>
        <v>1-3</v>
      </c>
      <c r="AH1037">
        <f>Table1[[#This Row],[MonthlyIncome]]*12*0.75</f>
        <v>18981</v>
      </c>
      <c r="AI10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37">
        <f>IF(Table1[[#This Row],[Attrition]]="Yes",Table1[[#This Row],[EstReplacementCost]],0)</f>
        <v>0</v>
      </c>
    </row>
    <row r="1038" spans="1:36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50</v>
      </c>
      <c r="P1038">
        <v>4</v>
      </c>
      <c r="Q1038" t="s">
        <v>48</v>
      </c>
      <c r="R1038">
        <v>3722</v>
      </c>
      <c r="S1038">
        <v>21081</v>
      </c>
      <c r="T1038">
        <v>6</v>
      </c>
      <c r="U1038" t="s">
        <v>35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tr">
        <f>IF(Table1[[#This Row],[YearsAtCompany]]&lt;1,"0-1",IF(Table1[[#This Row],[YearsAtCompany]]&lt;=3,"1-3",IF(Table1[[#This Row],[YearsAtCompany]]&lt;=6,"4-6","7+")))</f>
        <v>1-3</v>
      </c>
      <c r="AH1038">
        <f>Table1[[#This Row],[MonthlyIncome]]*12*0.75</f>
        <v>33498</v>
      </c>
      <c r="AI10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38">
        <f>IF(Table1[[#This Row],[Attrition]]="Yes",Table1[[#This Row],[EstReplacementCost]],0)</f>
        <v>33498</v>
      </c>
    </row>
    <row r="1039" spans="1:36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53</v>
      </c>
      <c r="P1039">
        <v>4</v>
      </c>
      <c r="Q1039" t="s">
        <v>48</v>
      </c>
      <c r="R1039">
        <v>9380</v>
      </c>
      <c r="S1039">
        <v>14720</v>
      </c>
      <c r="T1039">
        <v>4</v>
      </c>
      <c r="U1039" t="s">
        <v>35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tr">
        <f>IF(Table1[[#This Row],[YearsAtCompany]]&lt;1,"0-1",IF(Table1[[#This Row],[YearsAtCompany]]&lt;=3,"1-3",IF(Table1[[#This Row],[YearsAtCompany]]&lt;=6,"4-6","7+")))</f>
        <v>1-3</v>
      </c>
      <c r="AH1039">
        <f>Table1[[#This Row],[MonthlyIncome]]*12*0.75</f>
        <v>84420</v>
      </c>
      <c r="AI10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39">
        <f>IF(Table1[[#This Row],[Attrition]]="Yes",Table1[[#This Row],[EstReplacementCost]],0)</f>
        <v>0</v>
      </c>
    </row>
    <row r="1040" spans="1:36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52</v>
      </c>
      <c r="R1040">
        <v>5486</v>
      </c>
      <c r="S1040">
        <v>24795</v>
      </c>
      <c r="T1040">
        <v>4</v>
      </c>
      <c r="U1040" t="s">
        <v>43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tr">
        <f>IF(Table1[[#This Row],[YearsAtCompany]]&lt;1,"0-1",IF(Table1[[#This Row],[YearsAtCompany]]&lt;=3,"1-3",IF(Table1[[#This Row],[YearsAtCompany]]&lt;=6,"4-6","7+")))</f>
        <v>1-3</v>
      </c>
      <c r="AH1040">
        <f>Table1[[#This Row],[MonthlyIncome]]*12*0.75</f>
        <v>49374</v>
      </c>
      <c r="AI10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40">
        <f>IF(Table1[[#This Row],[Attrition]]="Yes",Table1[[#This Row],[EstReplacementCost]],0)</f>
        <v>0</v>
      </c>
    </row>
    <row r="1041" spans="1:36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61</v>
      </c>
      <c r="P1041">
        <v>3</v>
      </c>
      <c r="Q1041" t="s">
        <v>48</v>
      </c>
      <c r="R1041">
        <v>2742</v>
      </c>
      <c r="S1041">
        <v>3072</v>
      </c>
      <c r="T1041">
        <v>1</v>
      </c>
      <c r="U1041" t="s">
        <v>43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tr">
        <f>IF(Table1[[#This Row],[YearsAtCompany]]&lt;1,"0-1",IF(Table1[[#This Row],[YearsAtCompany]]&lt;=3,"1-3",IF(Table1[[#This Row],[YearsAtCompany]]&lt;=6,"4-6","7+")))</f>
        <v>1-3</v>
      </c>
      <c r="AH1041">
        <f>Table1[[#This Row],[MonthlyIncome]]*12*0.75</f>
        <v>24678</v>
      </c>
      <c r="AI10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41">
        <f>IF(Table1[[#This Row],[Attrition]]="Yes",Table1[[#This Row],[EstReplacementCost]],0)</f>
        <v>24678</v>
      </c>
    </row>
    <row r="1042" spans="1:36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58</v>
      </c>
      <c r="P1042">
        <v>2</v>
      </c>
      <c r="Q1042" t="s">
        <v>52</v>
      </c>
      <c r="R1042">
        <v>13757</v>
      </c>
      <c r="S1042">
        <v>25178</v>
      </c>
      <c r="T1042">
        <v>2</v>
      </c>
      <c r="U1042" t="s">
        <v>43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tr">
        <f>IF(Table1[[#This Row],[YearsAtCompany]]&lt;1,"0-1",IF(Table1[[#This Row],[YearsAtCompany]]&lt;=3,"1-3",IF(Table1[[#This Row],[YearsAtCompany]]&lt;=6,"4-6","7+")))</f>
        <v>7+</v>
      </c>
      <c r="AH1042">
        <f>Table1[[#This Row],[MonthlyIncome]]*12*0.75</f>
        <v>123813</v>
      </c>
      <c r="AI10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42">
        <f>IF(Table1[[#This Row],[Attrition]]="Yes",Table1[[#This Row],[EstReplacementCost]],0)</f>
        <v>0</v>
      </c>
    </row>
    <row r="1043" spans="1:36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>
        <v>8463</v>
      </c>
      <c r="S1043">
        <v>23490</v>
      </c>
      <c r="T1043">
        <v>0</v>
      </c>
      <c r="U1043" t="s">
        <v>43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tr">
        <f>IF(Table1[[#This Row],[YearsAtCompany]]&lt;1,"0-1",IF(Table1[[#This Row],[YearsAtCompany]]&lt;=3,"1-3",IF(Table1[[#This Row],[YearsAtCompany]]&lt;=6,"4-6","7+")))</f>
        <v>4-6</v>
      </c>
      <c r="AH1043">
        <f>Table1[[#This Row],[MonthlyIncome]]*12*0.75</f>
        <v>76167</v>
      </c>
      <c r="AI10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43">
        <f>IF(Table1[[#This Row],[Attrition]]="Yes",Table1[[#This Row],[EstReplacementCost]],0)</f>
        <v>0</v>
      </c>
    </row>
    <row r="1044" spans="1:36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50</v>
      </c>
      <c r="P1044">
        <v>3</v>
      </c>
      <c r="Q1044" t="s">
        <v>41</v>
      </c>
      <c r="R1044">
        <v>3162</v>
      </c>
      <c r="S1044">
        <v>7973</v>
      </c>
      <c r="T1044">
        <v>3</v>
      </c>
      <c r="U1044" t="s">
        <v>43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tr">
        <f>IF(Table1[[#This Row],[YearsAtCompany]]&lt;1,"0-1",IF(Table1[[#This Row],[YearsAtCompany]]&lt;=3,"1-3",IF(Table1[[#This Row],[YearsAtCompany]]&lt;=6,"4-6","7+")))</f>
        <v>4-6</v>
      </c>
      <c r="AH1044">
        <f>Table1[[#This Row],[MonthlyIncome]]*12*0.75</f>
        <v>28458</v>
      </c>
      <c r="AI10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44">
        <f>IF(Table1[[#This Row],[Attrition]]="Yes",Table1[[#This Row],[EstReplacementCost]],0)</f>
        <v>0</v>
      </c>
    </row>
    <row r="1045" spans="1:36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58</v>
      </c>
      <c r="P1045">
        <v>2</v>
      </c>
      <c r="Q1045" t="s">
        <v>41</v>
      </c>
      <c r="R1045">
        <v>16598</v>
      </c>
      <c r="S1045">
        <v>19764</v>
      </c>
      <c r="T1045">
        <v>4</v>
      </c>
      <c r="U1045" t="s">
        <v>43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tr">
        <f>IF(Table1[[#This Row],[YearsAtCompany]]&lt;1,"0-1",IF(Table1[[#This Row],[YearsAtCompany]]&lt;=3,"1-3",IF(Table1[[#This Row],[YearsAtCompany]]&lt;=6,"4-6","7+")))</f>
        <v>7+</v>
      </c>
      <c r="AH1045">
        <f>Table1[[#This Row],[MonthlyIncome]]*12*0.75</f>
        <v>149382</v>
      </c>
      <c r="AI10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45">
        <f>IF(Table1[[#This Row],[Attrition]]="Yes",Table1[[#This Row],[EstReplacementCost]],0)</f>
        <v>0</v>
      </c>
    </row>
    <row r="1046" spans="1:36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54</v>
      </c>
      <c r="P1046">
        <v>3</v>
      </c>
      <c r="Q1046" t="s">
        <v>48</v>
      </c>
      <c r="R1046">
        <v>6651</v>
      </c>
      <c r="S1046">
        <v>21534</v>
      </c>
      <c r="T1046">
        <v>2</v>
      </c>
      <c r="U1046" t="s">
        <v>43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tr">
        <f>IF(Table1[[#This Row],[YearsAtCompany]]&lt;1,"0-1",IF(Table1[[#This Row],[YearsAtCompany]]&lt;=3,"1-3",IF(Table1[[#This Row],[YearsAtCompany]]&lt;=6,"4-6","7+")))</f>
        <v>1-3</v>
      </c>
      <c r="AH1046">
        <f>Table1[[#This Row],[MonthlyIncome]]*12*0.75</f>
        <v>59859</v>
      </c>
      <c r="AI10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46">
        <f>IF(Table1[[#This Row],[Attrition]]="Yes",Table1[[#This Row],[EstReplacementCost]],0)</f>
        <v>0</v>
      </c>
    </row>
    <row r="1047" spans="1:36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47</v>
      </c>
      <c r="P1047">
        <v>3</v>
      </c>
      <c r="Q1047" t="s">
        <v>52</v>
      </c>
      <c r="R1047">
        <v>2345</v>
      </c>
      <c r="S1047">
        <v>8045</v>
      </c>
      <c r="T1047">
        <v>2</v>
      </c>
      <c r="U1047" t="s">
        <v>43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tr">
        <f>IF(Table1[[#This Row],[YearsAtCompany]]&lt;1,"0-1",IF(Table1[[#This Row],[YearsAtCompany]]&lt;=3,"1-3",IF(Table1[[#This Row],[YearsAtCompany]]&lt;=6,"4-6","7+")))</f>
        <v>1-3</v>
      </c>
      <c r="AH1047">
        <f>Table1[[#This Row],[MonthlyIncome]]*12*0.75</f>
        <v>21105</v>
      </c>
      <c r="AI10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47">
        <f>IF(Table1[[#This Row],[Attrition]]="Yes",Table1[[#This Row],[EstReplacementCost]],0)</f>
        <v>0</v>
      </c>
    </row>
    <row r="1048" spans="1:36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47</v>
      </c>
      <c r="P1048">
        <v>2</v>
      </c>
      <c r="Q1048" t="s">
        <v>41</v>
      </c>
      <c r="R1048">
        <v>3420</v>
      </c>
      <c r="S1048">
        <v>21158</v>
      </c>
      <c r="T1048">
        <v>1</v>
      </c>
      <c r="U1048" t="s">
        <v>43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tr">
        <f>IF(Table1[[#This Row],[YearsAtCompany]]&lt;1,"0-1",IF(Table1[[#This Row],[YearsAtCompany]]&lt;=3,"1-3",IF(Table1[[#This Row],[YearsAtCompany]]&lt;=6,"4-6","7+")))</f>
        <v>4-6</v>
      </c>
      <c r="AH1048">
        <f>Table1[[#This Row],[MonthlyIncome]]*12*0.75</f>
        <v>30780</v>
      </c>
      <c r="AI10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48">
        <f>IF(Table1[[#This Row],[Attrition]]="Yes",Table1[[#This Row],[EstReplacementCost]],0)</f>
        <v>0</v>
      </c>
    </row>
    <row r="1049" spans="1:36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48</v>
      </c>
      <c r="R1049">
        <v>4373</v>
      </c>
      <c r="S1049">
        <v>17456</v>
      </c>
      <c r="T1049">
        <v>0</v>
      </c>
      <c r="U1049" t="s">
        <v>43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tr">
        <f>IF(Table1[[#This Row],[YearsAtCompany]]&lt;1,"0-1",IF(Table1[[#This Row],[YearsAtCompany]]&lt;=3,"1-3",IF(Table1[[#This Row],[YearsAtCompany]]&lt;=6,"4-6","7+")))</f>
        <v>4-6</v>
      </c>
      <c r="AH1049">
        <f>Table1[[#This Row],[MonthlyIncome]]*12*0.75</f>
        <v>39357</v>
      </c>
      <c r="AI10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49">
        <f>IF(Table1[[#This Row],[Attrition]]="Yes",Table1[[#This Row],[EstReplacementCost]],0)</f>
        <v>0</v>
      </c>
    </row>
    <row r="1050" spans="1:36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>
        <v>4759</v>
      </c>
      <c r="S1050">
        <v>15891</v>
      </c>
      <c r="T1050">
        <v>3</v>
      </c>
      <c r="U1050" t="s">
        <v>43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tr">
        <f>IF(Table1[[#This Row],[YearsAtCompany]]&lt;1,"0-1",IF(Table1[[#This Row],[YearsAtCompany]]&lt;=3,"1-3",IF(Table1[[#This Row],[YearsAtCompany]]&lt;=6,"4-6","7+")))</f>
        <v>7+</v>
      </c>
      <c r="AH1050">
        <f>Table1[[#This Row],[MonthlyIncome]]*12*0.75</f>
        <v>42831</v>
      </c>
      <c r="AI10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50">
        <f>IF(Table1[[#This Row],[Attrition]]="Yes",Table1[[#This Row],[EstReplacementCost]],0)</f>
        <v>0</v>
      </c>
    </row>
    <row r="1051" spans="1:36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48</v>
      </c>
      <c r="R1051">
        <v>5301</v>
      </c>
      <c r="S1051">
        <v>2939</v>
      </c>
      <c r="T1051">
        <v>8</v>
      </c>
      <c r="U1051" t="s">
        <v>43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tr">
        <f>IF(Table1[[#This Row],[YearsAtCompany]]&lt;1,"0-1",IF(Table1[[#This Row],[YearsAtCompany]]&lt;=3,"1-3",IF(Table1[[#This Row],[YearsAtCompany]]&lt;=6,"4-6","7+")))</f>
        <v>1-3</v>
      </c>
      <c r="AH1051">
        <f>Table1[[#This Row],[MonthlyIncome]]*12*0.75</f>
        <v>47709</v>
      </c>
      <c r="AI10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51">
        <f>IF(Table1[[#This Row],[Attrition]]="Yes",Table1[[#This Row],[EstReplacementCost]],0)</f>
        <v>0</v>
      </c>
    </row>
    <row r="1052" spans="1:36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50</v>
      </c>
      <c r="P1052">
        <v>4</v>
      </c>
      <c r="Q1052" t="s">
        <v>41</v>
      </c>
      <c r="R1052">
        <v>3673</v>
      </c>
      <c r="S1052">
        <v>16458</v>
      </c>
      <c r="T1052">
        <v>1</v>
      </c>
      <c r="U1052" t="s">
        <v>43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tr">
        <f>IF(Table1[[#This Row],[YearsAtCompany]]&lt;1,"0-1",IF(Table1[[#This Row],[YearsAtCompany]]&lt;=3,"1-3",IF(Table1[[#This Row],[YearsAtCompany]]&lt;=6,"4-6","7+")))</f>
        <v>7+</v>
      </c>
      <c r="AH1052">
        <f>Table1[[#This Row],[MonthlyIncome]]*12*0.75</f>
        <v>33057</v>
      </c>
      <c r="AI10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52">
        <f>IF(Table1[[#This Row],[Attrition]]="Yes",Table1[[#This Row],[EstReplacementCost]],0)</f>
        <v>0</v>
      </c>
    </row>
    <row r="1053" spans="1:36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48</v>
      </c>
      <c r="R1053">
        <v>4768</v>
      </c>
      <c r="S1053">
        <v>9282</v>
      </c>
      <c r="T1053">
        <v>7</v>
      </c>
      <c r="U1053" t="s">
        <v>43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tr">
        <f>IF(Table1[[#This Row],[YearsAtCompany]]&lt;1,"0-1",IF(Table1[[#This Row],[YearsAtCompany]]&lt;=3,"1-3",IF(Table1[[#This Row],[YearsAtCompany]]&lt;=6,"4-6","7+")))</f>
        <v>1-3</v>
      </c>
      <c r="AH1053">
        <f>Table1[[#This Row],[MonthlyIncome]]*12*0.75</f>
        <v>42912</v>
      </c>
      <c r="AI10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53">
        <f>IF(Table1[[#This Row],[Attrition]]="Yes",Table1[[#This Row],[EstReplacementCost]],0)</f>
        <v>0</v>
      </c>
    </row>
    <row r="1054" spans="1:36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47</v>
      </c>
      <c r="P1054">
        <v>3</v>
      </c>
      <c r="Q1054" t="s">
        <v>52</v>
      </c>
      <c r="R1054">
        <v>1274</v>
      </c>
      <c r="S1054">
        <v>7152</v>
      </c>
      <c r="T1054">
        <v>1</v>
      </c>
      <c r="U1054" t="s">
        <v>43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tr">
        <f>IF(Table1[[#This Row],[YearsAtCompany]]&lt;1,"0-1",IF(Table1[[#This Row],[YearsAtCompany]]&lt;=3,"1-3",IF(Table1[[#This Row],[YearsAtCompany]]&lt;=6,"4-6","7+")))</f>
        <v>1-3</v>
      </c>
      <c r="AH1054">
        <f>Table1[[#This Row],[MonthlyIncome]]*12*0.75</f>
        <v>11466</v>
      </c>
      <c r="AI10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54">
        <f>IF(Table1[[#This Row],[Attrition]]="Yes",Table1[[#This Row],[EstReplacementCost]],0)</f>
        <v>0</v>
      </c>
    </row>
    <row r="1055" spans="1:36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47</v>
      </c>
      <c r="P1055">
        <v>3</v>
      </c>
      <c r="Q1055" t="s">
        <v>48</v>
      </c>
      <c r="R1055">
        <v>4900</v>
      </c>
      <c r="S1055">
        <v>2721</v>
      </c>
      <c r="T1055">
        <v>0</v>
      </c>
      <c r="U1055" t="s">
        <v>43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tr">
        <f>IF(Table1[[#This Row],[YearsAtCompany]]&lt;1,"0-1",IF(Table1[[#This Row],[YearsAtCompany]]&lt;=3,"1-3",IF(Table1[[#This Row],[YearsAtCompany]]&lt;=6,"4-6","7+")))</f>
        <v>7+</v>
      </c>
      <c r="AH1055">
        <f>Table1[[#This Row],[MonthlyIncome]]*12*0.75</f>
        <v>44100</v>
      </c>
      <c r="AI10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55">
        <f>IF(Table1[[#This Row],[Attrition]]="Yes",Table1[[#This Row],[EstReplacementCost]],0)</f>
        <v>0</v>
      </c>
    </row>
    <row r="1056" spans="1:36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54</v>
      </c>
      <c r="P1056">
        <v>2</v>
      </c>
      <c r="Q1056" t="s">
        <v>52</v>
      </c>
      <c r="R1056">
        <v>10466</v>
      </c>
      <c r="S1056">
        <v>20948</v>
      </c>
      <c r="T1056">
        <v>3</v>
      </c>
      <c r="U1056" t="s">
        <v>43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tr">
        <f>IF(Table1[[#This Row],[YearsAtCompany]]&lt;1,"0-1",IF(Table1[[#This Row],[YearsAtCompany]]&lt;=3,"1-3",IF(Table1[[#This Row],[YearsAtCompany]]&lt;=6,"4-6","7+")))</f>
        <v>7+</v>
      </c>
      <c r="AH1056">
        <f>Table1[[#This Row],[MonthlyIncome]]*12*0.75</f>
        <v>94194</v>
      </c>
      <c r="AI10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56">
        <f>IF(Table1[[#This Row],[Attrition]]="Yes",Table1[[#This Row],[EstReplacementCost]],0)</f>
        <v>0</v>
      </c>
    </row>
    <row r="1057" spans="1:36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58</v>
      </c>
      <c r="P1057">
        <v>1</v>
      </c>
      <c r="Q1057" t="s">
        <v>52</v>
      </c>
      <c r="R1057">
        <v>17007</v>
      </c>
      <c r="S1057">
        <v>11929</v>
      </c>
      <c r="T1057">
        <v>7</v>
      </c>
      <c r="U1057" t="s">
        <v>43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tr">
        <f>IF(Table1[[#This Row],[YearsAtCompany]]&lt;1,"0-1",IF(Table1[[#This Row],[YearsAtCompany]]&lt;=3,"1-3",IF(Table1[[#This Row],[YearsAtCompany]]&lt;=6,"4-6","7+")))</f>
        <v>7+</v>
      </c>
      <c r="AH1057">
        <f>Table1[[#This Row],[MonthlyIncome]]*12*0.75</f>
        <v>153063</v>
      </c>
      <c r="AI10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57">
        <f>IF(Table1[[#This Row],[Attrition]]="Yes",Table1[[#This Row],[EstReplacementCost]],0)</f>
        <v>0</v>
      </c>
    </row>
    <row r="1058" spans="1:36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57</v>
      </c>
      <c r="P1058">
        <v>3</v>
      </c>
      <c r="Q1058" t="s">
        <v>48</v>
      </c>
      <c r="R1058">
        <v>2909</v>
      </c>
      <c r="S1058">
        <v>15747</v>
      </c>
      <c r="T1058">
        <v>3</v>
      </c>
      <c r="U1058" t="s">
        <v>43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tr">
        <f>IF(Table1[[#This Row],[YearsAtCompany]]&lt;1,"0-1",IF(Table1[[#This Row],[YearsAtCompany]]&lt;=3,"1-3",IF(Table1[[#This Row],[YearsAtCompany]]&lt;=6,"4-6","7+")))</f>
        <v>1-3</v>
      </c>
      <c r="AH1058">
        <f>Table1[[#This Row],[MonthlyIncome]]*12*0.75</f>
        <v>26181</v>
      </c>
      <c r="AI10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58">
        <f>IF(Table1[[#This Row],[Attrition]]="Yes",Table1[[#This Row],[EstReplacementCost]],0)</f>
        <v>26181</v>
      </c>
    </row>
    <row r="1059" spans="1:36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>
        <v>5765</v>
      </c>
      <c r="S1059">
        <v>17485</v>
      </c>
      <c r="T1059">
        <v>5</v>
      </c>
      <c r="U1059" t="s">
        <v>43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tr">
        <f>IF(Table1[[#This Row],[YearsAtCompany]]&lt;1,"0-1",IF(Table1[[#This Row],[YearsAtCompany]]&lt;=3,"1-3",IF(Table1[[#This Row],[YearsAtCompany]]&lt;=6,"4-6","7+")))</f>
        <v>4-6</v>
      </c>
      <c r="AH1059">
        <f>Table1[[#This Row],[MonthlyIncome]]*12*0.75</f>
        <v>51885</v>
      </c>
      <c r="AI10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59">
        <f>IF(Table1[[#This Row],[Attrition]]="Yes",Table1[[#This Row],[EstReplacementCost]],0)</f>
        <v>51885</v>
      </c>
    </row>
    <row r="1060" spans="1:36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>
        <v>4599</v>
      </c>
      <c r="S1060">
        <v>7815</v>
      </c>
      <c r="T1060">
        <v>0</v>
      </c>
      <c r="U1060" t="s">
        <v>35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tr">
        <f>IF(Table1[[#This Row],[YearsAtCompany]]&lt;1,"0-1",IF(Table1[[#This Row],[YearsAtCompany]]&lt;=3,"1-3",IF(Table1[[#This Row],[YearsAtCompany]]&lt;=6,"4-6","7+")))</f>
        <v>7+</v>
      </c>
      <c r="AH1060">
        <f>Table1[[#This Row],[MonthlyIncome]]*12*0.75</f>
        <v>41391</v>
      </c>
      <c r="AI10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60">
        <f>IF(Table1[[#This Row],[Attrition]]="Yes",Table1[[#This Row],[EstReplacementCost]],0)</f>
        <v>41391</v>
      </c>
    </row>
    <row r="1061" spans="1:36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57</v>
      </c>
      <c r="P1061">
        <v>3</v>
      </c>
      <c r="Q1061" t="s">
        <v>48</v>
      </c>
      <c r="R1061">
        <v>2404</v>
      </c>
      <c r="S1061">
        <v>16192</v>
      </c>
      <c r="T1061">
        <v>1</v>
      </c>
      <c r="U1061" t="s">
        <v>43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tr">
        <f>IF(Table1[[#This Row],[YearsAtCompany]]&lt;1,"0-1",IF(Table1[[#This Row],[YearsAtCompany]]&lt;=3,"1-3",IF(Table1[[#This Row],[YearsAtCompany]]&lt;=6,"4-6","7+")))</f>
        <v>1-3</v>
      </c>
      <c r="AH1061">
        <f>Table1[[#This Row],[MonthlyIncome]]*12*0.75</f>
        <v>21636</v>
      </c>
      <c r="AI10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61">
        <f>IF(Table1[[#This Row],[Attrition]]="Yes",Table1[[#This Row],[EstReplacementCost]],0)</f>
        <v>0</v>
      </c>
    </row>
    <row r="1062" spans="1:36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50</v>
      </c>
      <c r="P1062">
        <v>1</v>
      </c>
      <c r="Q1062" t="s">
        <v>41</v>
      </c>
      <c r="R1062">
        <v>3172</v>
      </c>
      <c r="S1062">
        <v>16998</v>
      </c>
      <c r="T1062">
        <v>2</v>
      </c>
      <c r="U1062" t="s">
        <v>35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tr">
        <f>IF(Table1[[#This Row],[YearsAtCompany]]&lt;1,"0-1",IF(Table1[[#This Row],[YearsAtCompany]]&lt;=3,"1-3",IF(Table1[[#This Row],[YearsAtCompany]]&lt;=6,"4-6","7+")))</f>
        <v>0-1</v>
      </c>
      <c r="AH1062">
        <f>Table1[[#This Row],[MonthlyIncome]]*12*0.75</f>
        <v>28548</v>
      </c>
      <c r="AI10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062">
        <f>IF(Table1[[#This Row],[Attrition]]="Yes",Table1[[#This Row],[EstReplacementCost]],0)</f>
        <v>28548</v>
      </c>
    </row>
    <row r="1063" spans="1:36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57</v>
      </c>
      <c r="P1063">
        <v>2</v>
      </c>
      <c r="Q1063" t="s">
        <v>48</v>
      </c>
      <c r="R1063">
        <v>2033</v>
      </c>
      <c r="S1063">
        <v>7103</v>
      </c>
      <c r="T1063">
        <v>1</v>
      </c>
      <c r="U1063" t="s">
        <v>43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tr">
        <f>IF(Table1[[#This Row],[YearsAtCompany]]&lt;1,"0-1",IF(Table1[[#This Row],[YearsAtCompany]]&lt;=3,"1-3",IF(Table1[[#This Row],[YearsAtCompany]]&lt;=6,"4-6","7+")))</f>
        <v>1-3</v>
      </c>
      <c r="AH1063">
        <f>Table1[[#This Row],[MonthlyIncome]]*12*0.75</f>
        <v>18297</v>
      </c>
      <c r="AI10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63">
        <f>IF(Table1[[#This Row],[Attrition]]="Yes",Table1[[#This Row],[EstReplacementCost]],0)</f>
        <v>0</v>
      </c>
    </row>
    <row r="1064" spans="1:36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53</v>
      </c>
      <c r="P1064">
        <v>3</v>
      </c>
      <c r="Q1064" t="s">
        <v>41</v>
      </c>
      <c r="R1064">
        <v>10209</v>
      </c>
      <c r="S1064">
        <v>19719</v>
      </c>
      <c r="T1064">
        <v>5</v>
      </c>
      <c r="U1064" t="s">
        <v>35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tr">
        <f>IF(Table1[[#This Row],[YearsAtCompany]]&lt;1,"0-1",IF(Table1[[#This Row],[YearsAtCompany]]&lt;=3,"1-3",IF(Table1[[#This Row],[YearsAtCompany]]&lt;=6,"4-6","7+")))</f>
        <v>1-3</v>
      </c>
      <c r="AH1064">
        <f>Table1[[#This Row],[MonthlyIncome]]*12*0.75</f>
        <v>91881</v>
      </c>
      <c r="AI10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64">
        <f>IF(Table1[[#This Row],[Attrition]]="Yes",Table1[[#This Row],[EstReplacementCost]],0)</f>
        <v>0</v>
      </c>
    </row>
    <row r="1065" spans="1:36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52</v>
      </c>
      <c r="R1065">
        <v>8620</v>
      </c>
      <c r="S1065">
        <v>23757</v>
      </c>
      <c r="T1065">
        <v>1</v>
      </c>
      <c r="U1065" t="s">
        <v>43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tr">
        <f>IF(Table1[[#This Row],[YearsAtCompany]]&lt;1,"0-1",IF(Table1[[#This Row],[YearsAtCompany]]&lt;=3,"1-3",IF(Table1[[#This Row],[YearsAtCompany]]&lt;=6,"4-6","7+")))</f>
        <v>7+</v>
      </c>
      <c r="AH1065">
        <f>Table1[[#This Row],[MonthlyIncome]]*12*0.75</f>
        <v>77580</v>
      </c>
      <c r="AI10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65">
        <f>IF(Table1[[#This Row],[Attrition]]="Yes",Table1[[#This Row],[EstReplacementCost]],0)</f>
        <v>0</v>
      </c>
    </row>
    <row r="1066" spans="1:36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61</v>
      </c>
      <c r="P1066">
        <v>3</v>
      </c>
      <c r="Q1066" t="s">
        <v>52</v>
      </c>
      <c r="R1066">
        <v>2064</v>
      </c>
      <c r="S1066">
        <v>15428</v>
      </c>
      <c r="T1066">
        <v>0</v>
      </c>
      <c r="U1066" t="s">
        <v>43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tr">
        <f>IF(Table1[[#This Row],[YearsAtCompany]]&lt;1,"0-1",IF(Table1[[#This Row],[YearsAtCompany]]&lt;=3,"1-3",IF(Table1[[#This Row],[YearsAtCompany]]&lt;=6,"4-6","7+")))</f>
        <v>4-6</v>
      </c>
      <c r="AH1066">
        <f>Table1[[#This Row],[MonthlyIncome]]*12*0.75</f>
        <v>18576</v>
      </c>
      <c r="AI10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66">
        <f>IF(Table1[[#This Row],[Attrition]]="Yes",Table1[[#This Row],[EstReplacementCost]],0)</f>
        <v>0</v>
      </c>
    </row>
    <row r="1067" spans="1:36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54</v>
      </c>
      <c r="P1067">
        <v>3</v>
      </c>
      <c r="Q1067" t="s">
        <v>48</v>
      </c>
      <c r="R1067">
        <v>4035</v>
      </c>
      <c r="S1067">
        <v>16143</v>
      </c>
      <c r="T1067">
        <v>0</v>
      </c>
      <c r="U1067" t="s">
        <v>35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tr">
        <f>IF(Table1[[#This Row],[YearsAtCompany]]&lt;1,"0-1",IF(Table1[[#This Row],[YearsAtCompany]]&lt;=3,"1-3",IF(Table1[[#This Row],[YearsAtCompany]]&lt;=6,"4-6","7+")))</f>
        <v>1-3</v>
      </c>
      <c r="AH1067">
        <f>Table1[[#This Row],[MonthlyIncome]]*12*0.75</f>
        <v>36315</v>
      </c>
      <c r="AI10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67">
        <f>IF(Table1[[#This Row],[Attrition]]="Yes",Table1[[#This Row],[EstReplacementCost]],0)</f>
        <v>0</v>
      </c>
    </row>
    <row r="1068" spans="1:36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50</v>
      </c>
      <c r="P1068">
        <v>2</v>
      </c>
      <c r="Q1068" t="s">
        <v>48</v>
      </c>
      <c r="R1068">
        <v>3838</v>
      </c>
      <c r="S1068">
        <v>8192</v>
      </c>
      <c r="T1068">
        <v>8</v>
      </c>
      <c r="U1068" t="s">
        <v>43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tr">
        <f>IF(Table1[[#This Row],[YearsAtCompany]]&lt;1,"0-1",IF(Table1[[#This Row],[YearsAtCompany]]&lt;=3,"1-3",IF(Table1[[#This Row],[YearsAtCompany]]&lt;=6,"4-6","7+")))</f>
        <v>4-6</v>
      </c>
      <c r="AH1068">
        <f>Table1[[#This Row],[MonthlyIncome]]*12*0.75</f>
        <v>34542</v>
      </c>
      <c r="AI10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68">
        <f>IF(Table1[[#This Row],[Attrition]]="Yes",Table1[[#This Row],[EstReplacementCost]],0)</f>
        <v>0</v>
      </c>
    </row>
    <row r="1069" spans="1:36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48</v>
      </c>
      <c r="R1069">
        <v>4591</v>
      </c>
      <c r="S1069">
        <v>24200</v>
      </c>
      <c r="T1069">
        <v>3</v>
      </c>
      <c r="U1069" t="s">
        <v>35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tr">
        <f>IF(Table1[[#This Row],[YearsAtCompany]]&lt;1,"0-1",IF(Table1[[#This Row],[YearsAtCompany]]&lt;=3,"1-3",IF(Table1[[#This Row],[YearsAtCompany]]&lt;=6,"4-6","7+")))</f>
        <v>4-6</v>
      </c>
      <c r="AH1069">
        <f>Table1[[#This Row],[MonthlyIncome]]*12*0.75</f>
        <v>41319</v>
      </c>
      <c r="AI10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69">
        <f>IF(Table1[[#This Row],[Attrition]]="Yes",Table1[[#This Row],[EstReplacementCost]],0)</f>
        <v>0</v>
      </c>
    </row>
    <row r="1070" spans="1:36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50</v>
      </c>
      <c r="P1070">
        <v>1</v>
      </c>
      <c r="Q1070" t="s">
        <v>41</v>
      </c>
      <c r="R1070">
        <v>2561</v>
      </c>
      <c r="S1070">
        <v>5355</v>
      </c>
      <c r="T1070">
        <v>7</v>
      </c>
      <c r="U1070" t="s">
        <v>43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tr">
        <f>IF(Table1[[#This Row],[YearsAtCompany]]&lt;1,"0-1",IF(Table1[[#This Row],[YearsAtCompany]]&lt;=3,"1-3",IF(Table1[[#This Row],[YearsAtCompany]]&lt;=6,"4-6","7+")))</f>
        <v>0-1</v>
      </c>
      <c r="AH1070">
        <f>Table1[[#This Row],[MonthlyIncome]]*12*0.75</f>
        <v>23049</v>
      </c>
      <c r="AI10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70">
        <f>IF(Table1[[#This Row],[Attrition]]="Yes",Table1[[#This Row],[EstReplacementCost]],0)</f>
        <v>23049</v>
      </c>
    </row>
    <row r="1071" spans="1:36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47</v>
      </c>
      <c r="P1071">
        <v>3</v>
      </c>
      <c r="Q1071" t="s">
        <v>52</v>
      </c>
      <c r="R1071">
        <v>1563</v>
      </c>
      <c r="S1071">
        <v>12530</v>
      </c>
      <c r="T1071">
        <v>1</v>
      </c>
      <c r="U1071" t="s">
        <v>43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tr">
        <f>IF(Table1[[#This Row],[YearsAtCompany]]&lt;1,"0-1",IF(Table1[[#This Row],[YearsAtCompany]]&lt;=3,"1-3",IF(Table1[[#This Row],[YearsAtCompany]]&lt;=6,"4-6","7+")))</f>
        <v>1-3</v>
      </c>
      <c r="AH1071">
        <f>Table1[[#This Row],[MonthlyIncome]]*12*0.75</f>
        <v>14067</v>
      </c>
      <c r="AI10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71">
        <f>IF(Table1[[#This Row],[Attrition]]="Yes",Table1[[#This Row],[EstReplacementCost]],0)</f>
        <v>0</v>
      </c>
    </row>
    <row r="1072" spans="1:36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>
        <v>4898</v>
      </c>
      <c r="S1072">
        <v>11827</v>
      </c>
      <c r="T1072">
        <v>0</v>
      </c>
      <c r="U1072" t="s">
        <v>43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tr">
        <f>IF(Table1[[#This Row],[YearsAtCompany]]&lt;1,"0-1",IF(Table1[[#This Row],[YearsAtCompany]]&lt;=3,"1-3",IF(Table1[[#This Row],[YearsAtCompany]]&lt;=6,"4-6","7+")))</f>
        <v>4-6</v>
      </c>
      <c r="AH1072">
        <f>Table1[[#This Row],[MonthlyIncome]]*12*0.75</f>
        <v>44082</v>
      </c>
      <c r="AI10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72">
        <f>IF(Table1[[#This Row],[Attrition]]="Yes",Table1[[#This Row],[EstReplacementCost]],0)</f>
        <v>0</v>
      </c>
    </row>
    <row r="1073" spans="1:36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50</v>
      </c>
      <c r="P1073">
        <v>1</v>
      </c>
      <c r="Q1073" t="s">
        <v>48</v>
      </c>
      <c r="R1073">
        <v>4789</v>
      </c>
      <c r="S1073">
        <v>23070</v>
      </c>
      <c r="T1073">
        <v>4</v>
      </c>
      <c r="U1073" t="s">
        <v>43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tr">
        <f>IF(Table1[[#This Row],[YearsAtCompany]]&lt;1,"0-1",IF(Table1[[#This Row],[YearsAtCompany]]&lt;=3,"1-3",IF(Table1[[#This Row],[YearsAtCompany]]&lt;=6,"4-6","7+")))</f>
        <v>1-3</v>
      </c>
      <c r="AH1073">
        <f>Table1[[#This Row],[MonthlyIncome]]*12*0.75</f>
        <v>43101</v>
      </c>
      <c r="AI10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73">
        <f>IF(Table1[[#This Row],[Attrition]]="Yes",Table1[[#This Row],[EstReplacementCost]],0)</f>
        <v>0</v>
      </c>
    </row>
    <row r="1074" spans="1:36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50</v>
      </c>
      <c r="P1074">
        <v>2</v>
      </c>
      <c r="Q1074" t="s">
        <v>48</v>
      </c>
      <c r="R1074">
        <v>3180</v>
      </c>
      <c r="S1074">
        <v>4668</v>
      </c>
      <c r="T1074">
        <v>0</v>
      </c>
      <c r="U1074" t="s">
        <v>43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tr">
        <f>IF(Table1[[#This Row],[YearsAtCompany]]&lt;1,"0-1",IF(Table1[[#This Row],[YearsAtCompany]]&lt;=3,"1-3",IF(Table1[[#This Row],[YearsAtCompany]]&lt;=6,"4-6","7+")))</f>
        <v>1-3</v>
      </c>
      <c r="AH1074">
        <f>Table1[[#This Row],[MonthlyIncome]]*12*0.75</f>
        <v>28620</v>
      </c>
      <c r="AI10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74">
        <f>IF(Table1[[#This Row],[Attrition]]="Yes",Table1[[#This Row],[EstReplacementCost]],0)</f>
        <v>0</v>
      </c>
    </row>
    <row r="1075" spans="1:36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53</v>
      </c>
      <c r="P1075">
        <v>2</v>
      </c>
      <c r="Q1075" t="s">
        <v>48</v>
      </c>
      <c r="R1075">
        <v>6549</v>
      </c>
      <c r="S1075">
        <v>3173</v>
      </c>
      <c r="T1075">
        <v>1</v>
      </c>
      <c r="U1075" t="s">
        <v>43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tr">
        <f>IF(Table1[[#This Row],[YearsAtCompany]]&lt;1,"0-1",IF(Table1[[#This Row],[YearsAtCompany]]&lt;=3,"1-3",IF(Table1[[#This Row],[YearsAtCompany]]&lt;=6,"4-6","7+")))</f>
        <v>7+</v>
      </c>
      <c r="AH1075">
        <f>Table1[[#This Row],[MonthlyIncome]]*12*0.75</f>
        <v>58941</v>
      </c>
      <c r="AI10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75">
        <f>IF(Table1[[#This Row],[Attrition]]="Yes",Table1[[#This Row],[EstReplacementCost]],0)</f>
        <v>0</v>
      </c>
    </row>
    <row r="1076" spans="1:36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54</v>
      </c>
      <c r="P1076">
        <v>3</v>
      </c>
      <c r="Q1076" t="s">
        <v>41</v>
      </c>
      <c r="R1076">
        <v>6388</v>
      </c>
      <c r="S1076">
        <v>22049</v>
      </c>
      <c r="T1076">
        <v>2</v>
      </c>
      <c r="U1076" t="s">
        <v>35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tr">
        <f>IF(Table1[[#This Row],[YearsAtCompany]]&lt;1,"0-1",IF(Table1[[#This Row],[YearsAtCompany]]&lt;=3,"1-3",IF(Table1[[#This Row],[YearsAtCompany]]&lt;=6,"4-6","7+")))</f>
        <v>0-1</v>
      </c>
      <c r="AH1076">
        <f>Table1[[#This Row],[MonthlyIncome]]*12*0.75</f>
        <v>57492</v>
      </c>
      <c r="AI10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76">
        <f>IF(Table1[[#This Row],[Attrition]]="Yes",Table1[[#This Row],[EstReplacementCost]],0)</f>
        <v>0</v>
      </c>
    </row>
    <row r="1077" spans="1:36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56</v>
      </c>
      <c r="P1077">
        <v>4</v>
      </c>
      <c r="Q1077" t="s">
        <v>41</v>
      </c>
      <c r="R1077">
        <v>11244</v>
      </c>
      <c r="S1077">
        <v>21072</v>
      </c>
      <c r="T1077">
        <v>2</v>
      </c>
      <c r="U1077" t="s">
        <v>43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tr">
        <f>IF(Table1[[#This Row],[YearsAtCompany]]&lt;1,"0-1",IF(Table1[[#This Row],[YearsAtCompany]]&lt;=3,"1-3",IF(Table1[[#This Row],[YearsAtCompany]]&lt;=6,"4-6","7+")))</f>
        <v>4-6</v>
      </c>
      <c r="AH1077">
        <f>Table1[[#This Row],[MonthlyIncome]]*12*0.75</f>
        <v>101196</v>
      </c>
      <c r="AI10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77">
        <f>IF(Table1[[#This Row],[Attrition]]="Yes",Table1[[#This Row],[EstReplacementCost]],0)</f>
        <v>0</v>
      </c>
    </row>
    <row r="1078" spans="1:36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56</v>
      </c>
      <c r="P1078">
        <v>4</v>
      </c>
      <c r="Q1078" t="s">
        <v>52</v>
      </c>
      <c r="R1078">
        <v>16032</v>
      </c>
      <c r="S1078">
        <v>24456</v>
      </c>
      <c r="T1078">
        <v>3</v>
      </c>
      <c r="U1078" t="s">
        <v>43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tr">
        <f>IF(Table1[[#This Row],[YearsAtCompany]]&lt;1,"0-1",IF(Table1[[#This Row],[YearsAtCompany]]&lt;=3,"1-3",IF(Table1[[#This Row],[YearsAtCompany]]&lt;=6,"4-6","7+")))</f>
        <v>7+</v>
      </c>
      <c r="AH1078">
        <f>Table1[[#This Row],[MonthlyIncome]]*12*0.75</f>
        <v>144288</v>
      </c>
      <c r="AI10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78">
        <f>IF(Table1[[#This Row],[Attrition]]="Yes",Table1[[#This Row],[EstReplacementCost]],0)</f>
        <v>0</v>
      </c>
    </row>
    <row r="1079" spans="1:36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47</v>
      </c>
      <c r="P1079">
        <v>1</v>
      </c>
      <c r="Q1079" t="s">
        <v>41</v>
      </c>
      <c r="R1079">
        <v>2362</v>
      </c>
      <c r="S1079">
        <v>7568</v>
      </c>
      <c r="T1079">
        <v>6</v>
      </c>
      <c r="U1079" t="s">
        <v>43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tr">
        <f>IF(Table1[[#This Row],[YearsAtCompany]]&lt;1,"0-1",IF(Table1[[#This Row],[YearsAtCompany]]&lt;=3,"1-3",IF(Table1[[#This Row],[YearsAtCompany]]&lt;=6,"4-6","7+")))</f>
        <v>7+</v>
      </c>
      <c r="AH1079">
        <f>Table1[[#This Row],[MonthlyIncome]]*12*0.75</f>
        <v>21258</v>
      </c>
      <c r="AI10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79">
        <f>IF(Table1[[#This Row],[Attrition]]="Yes",Table1[[#This Row],[EstReplacementCost]],0)</f>
        <v>21258</v>
      </c>
    </row>
    <row r="1080" spans="1:36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58</v>
      </c>
      <c r="P1080">
        <v>1</v>
      </c>
      <c r="Q1080" t="s">
        <v>48</v>
      </c>
      <c r="R1080">
        <v>16328</v>
      </c>
      <c r="S1080">
        <v>22074</v>
      </c>
      <c r="T1080">
        <v>3</v>
      </c>
      <c r="U1080" t="s">
        <v>43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tr">
        <f>IF(Table1[[#This Row],[YearsAtCompany]]&lt;1,"0-1",IF(Table1[[#This Row],[YearsAtCompany]]&lt;=3,"1-3",IF(Table1[[#This Row],[YearsAtCompany]]&lt;=6,"4-6","7+")))</f>
        <v>7+</v>
      </c>
      <c r="AH1080">
        <f>Table1[[#This Row],[MonthlyIncome]]*12*0.75</f>
        <v>146952</v>
      </c>
      <c r="AI10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80">
        <f>IF(Table1[[#This Row],[Attrition]]="Yes",Table1[[#This Row],[EstReplacementCost]],0)</f>
        <v>0</v>
      </c>
    </row>
    <row r="1081" spans="1:36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53</v>
      </c>
      <c r="P1081">
        <v>2</v>
      </c>
      <c r="Q1081" t="s">
        <v>41</v>
      </c>
      <c r="R1081">
        <v>8376</v>
      </c>
      <c r="S1081">
        <v>9150</v>
      </c>
      <c r="T1081">
        <v>4</v>
      </c>
      <c r="U1081" t="s">
        <v>43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tr">
        <f>IF(Table1[[#This Row],[YearsAtCompany]]&lt;1,"0-1",IF(Table1[[#This Row],[YearsAtCompany]]&lt;=3,"1-3",IF(Table1[[#This Row],[YearsAtCompany]]&lt;=6,"4-6","7+")))</f>
        <v>1-3</v>
      </c>
      <c r="AH1081">
        <f>Table1[[#This Row],[MonthlyIncome]]*12*0.75</f>
        <v>75384</v>
      </c>
      <c r="AI10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81">
        <f>IF(Table1[[#This Row],[Attrition]]="Yes",Table1[[#This Row],[EstReplacementCost]],0)</f>
        <v>0</v>
      </c>
    </row>
    <row r="1082" spans="1:36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56</v>
      </c>
      <c r="P1082">
        <v>2</v>
      </c>
      <c r="Q1082" t="s">
        <v>48</v>
      </c>
      <c r="R1082">
        <v>16606</v>
      </c>
      <c r="S1082">
        <v>11380</v>
      </c>
      <c r="T1082">
        <v>8</v>
      </c>
      <c r="U1082" t="s">
        <v>43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tr">
        <f>IF(Table1[[#This Row],[YearsAtCompany]]&lt;1,"0-1",IF(Table1[[#This Row],[YearsAtCompany]]&lt;=3,"1-3",IF(Table1[[#This Row],[YearsAtCompany]]&lt;=6,"4-6","7+")))</f>
        <v>7+</v>
      </c>
      <c r="AH1082">
        <f>Table1[[#This Row],[MonthlyIncome]]*12*0.75</f>
        <v>149454</v>
      </c>
      <c r="AI10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82">
        <f>IF(Table1[[#This Row],[Attrition]]="Yes",Table1[[#This Row],[EstReplacementCost]],0)</f>
        <v>0</v>
      </c>
    </row>
    <row r="1083" spans="1:36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54</v>
      </c>
      <c r="P1083">
        <v>2</v>
      </c>
      <c r="Q1083" t="s">
        <v>41</v>
      </c>
      <c r="R1083">
        <v>8606</v>
      </c>
      <c r="S1083">
        <v>21195</v>
      </c>
      <c r="T1083">
        <v>1</v>
      </c>
      <c r="U1083" t="s">
        <v>43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tr">
        <f>IF(Table1[[#This Row],[YearsAtCompany]]&lt;1,"0-1",IF(Table1[[#This Row],[YearsAtCompany]]&lt;=3,"1-3",IF(Table1[[#This Row],[YearsAtCompany]]&lt;=6,"4-6","7+")))</f>
        <v>7+</v>
      </c>
      <c r="AH1083">
        <f>Table1[[#This Row],[MonthlyIncome]]*12*0.75</f>
        <v>77454</v>
      </c>
      <c r="AI10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83">
        <f>IF(Table1[[#This Row],[Attrition]]="Yes",Table1[[#This Row],[EstReplacementCost]],0)</f>
        <v>0</v>
      </c>
    </row>
    <row r="1084" spans="1:36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50</v>
      </c>
      <c r="P1084">
        <v>3</v>
      </c>
      <c r="Q1084" t="s">
        <v>41</v>
      </c>
      <c r="R1084">
        <v>2272</v>
      </c>
      <c r="S1084">
        <v>24812</v>
      </c>
      <c r="T1084">
        <v>0</v>
      </c>
      <c r="U1084" t="s">
        <v>43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tr">
        <f>IF(Table1[[#This Row],[YearsAtCompany]]&lt;1,"0-1",IF(Table1[[#This Row],[YearsAtCompany]]&lt;=3,"1-3",IF(Table1[[#This Row],[YearsAtCompany]]&lt;=6,"4-6","7+")))</f>
        <v>4-6</v>
      </c>
      <c r="AH1084">
        <f>Table1[[#This Row],[MonthlyIncome]]*12*0.75</f>
        <v>20448</v>
      </c>
      <c r="AI10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84">
        <f>IF(Table1[[#This Row],[Attrition]]="Yes",Table1[[#This Row],[EstReplacementCost]],0)</f>
        <v>0</v>
      </c>
    </row>
    <row r="1085" spans="1:36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50</v>
      </c>
      <c r="P1085">
        <v>1</v>
      </c>
      <c r="Q1085" t="s">
        <v>41</v>
      </c>
      <c r="R1085">
        <v>2018</v>
      </c>
      <c r="S1085">
        <v>21831</v>
      </c>
      <c r="T1085">
        <v>3</v>
      </c>
      <c r="U1085" t="s">
        <v>43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tr">
        <f>IF(Table1[[#This Row],[YearsAtCompany]]&lt;1,"0-1",IF(Table1[[#This Row],[YearsAtCompany]]&lt;=3,"1-3",IF(Table1[[#This Row],[YearsAtCompany]]&lt;=6,"4-6","7+")))</f>
        <v>4-6</v>
      </c>
      <c r="AH1085">
        <f>Table1[[#This Row],[MonthlyIncome]]*12*0.75</f>
        <v>18162</v>
      </c>
      <c r="AI10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85">
        <f>IF(Table1[[#This Row],[Attrition]]="Yes",Table1[[#This Row],[EstReplacementCost]],0)</f>
        <v>18162</v>
      </c>
    </row>
    <row r="1086" spans="1:36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48</v>
      </c>
      <c r="R1086">
        <v>7083</v>
      </c>
      <c r="S1086">
        <v>12288</v>
      </c>
      <c r="T1086">
        <v>1</v>
      </c>
      <c r="U1086" t="s">
        <v>35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tr">
        <f>IF(Table1[[#This Row],[YearsAtCompany]]&lt;1,"0-1",IF(Table1[[#This Row],[YearsAtCompany]]&lt;=3,"1-3",IF(Table1[[#This Row],[YearsAtCompany]]&lt;=6,"4-6","7+")))</f>
        <v>7+</v>
      </c>
      <c r="AH1086">
        <f>Table1[[#This Row],[MonthlyIncome]]*12*0.75</f>
        <v>63747</v>
      </c>
      <c r="AI10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86">
        <f>IF(Table1[[#This Row],[Attrition]]="Yes",Table1[[#This Row],[EstReplacementCost]],0)</f>
        <v>0</v>
      </c>
    </row>
    <row r="1087" spans="1:36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47</v>
      </c>
      <c r="P1087">
        <v>3</v>
      </c>
      <c r="Q1087" t="s">
        <v>41</v>
      </c>
      <c r="R1087">
        <v>4084</v>
      </c>
      <c r="S1087">
        <v>4156</v>
      </c>
      <c r="T1087">
        <v>1</v>
      </c>
      <c r="U1087" t="s">
        <v>43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tr">
        <f>IF(Table1[[#This Row],[YearsAtCompany]]&lt;1,"0-1",IF(Table1[[#This Row],[YearsAtCompany]]&lt;=3,"1-3",IF(Table1[[#This Row],[YearsAtCompany]]&lt;=6,"4-6","7+")))</f>
        <v>7+</v>
      </c>
      <c r="AH1087">
        <f>Table1[[#This Row],[MonthlyIncome]]*12*0.75</f>
        <v>36756</v>
      </c>
      <c r="AI10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87">
        <f>IF(Table1[[#This Row],[Attrition]]="Yes",Table1[[#This Row],[EstReplacementCost]],0)</f>
        <v>36756</v>
      </c>
    </row>
    <row r="1088" spans="1:36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58</v>
      </c>
      <c r="P1088">
        <v>4</v>
      </c>
      <c r="Q1088" t="s">
        <v>41</v>
      </c>
      <c r="R1088">
        <v>14411</v>
      </c>
      <c r="S1088">
        <v>24450</v>
      </c>
      <c r="T1088">
        <v>1</v>
      </c>
      <c r="U1088" t="s">
        <v>35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tr">
        <f>IF(Table1[[#This Row],[YearsAtCompany]]&lt;1,"0-1",IF(Table1[[#This Row],[YearsAtCompany]]&lt;=3,"1-3",IF(Table1[[#This Row],[YearsAtCompany]]&lt;=6,"4-6","7+")))</f>
        <v>7+</v>
      </c>
      <c r="AH1088">
        <f>Table1[[#This Row],[MonthlyIncome]]*12*0.75</f>
        <v>129699</v>
      </c>
      <c r="AI10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88">
        <f>IF(Table1[[#This Row],[Attrition]]="Yes",Table1[[#This Row],[EstReplacementCost]],0)</f>
        <v>0</v>
      </c>
    </row>
    <row r="1089" spans="1:36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57</v>
      </c>
      <c r="P1089">
        <v>3</v>
      </c>
      <c r="Q1089" t="s">
        <v>48</v>
      </c>
      <c r="R1089">
        <v>2308</v>
      </c>
      <c r="S1089">
        <v>4944</v>
      </c>
      <c r="T1089">
        <v>0</v>
      </c>
      <c r="U1089" t="s">
        <v>35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tr">
        <f>IF(Table1[[#This Row],[YearsAtCompany]]&lt;1,"0-1",IF(Table1[[#This Row],[YearsAtCompany]]&lt;=3,"1-3",IF(Table1[[#This Row],[YearsAtCompany]]&lt;=6,"4-6","7+")))</f>
        <v>7+</v>
      </c>
      <c r="AH1089">
        <f>Table1[[#This Row],[MonthlyIncome]]*12*0.75</f>
        <v>20772</v>
      </c>
      <c r="AI10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89">
        <f>IF(Table1[[#This Row],[Attrition]]="Yes",Table1[[#This Row],[EstReplacementCost]],0)</f>
        <v>0</v>
      </c>
    </row>
    <row r="1090" spans="1:36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50</v>
      </c>
      <c r="P1090">
        <v>2</v>
      </c>
      <c r="Q1090" t="s">
        <v>48</v>
      </c>
      <c r="R1090">
        <v>4841</v>
      </c>
      <c r="S1090">
        <v>24052</v>
      </c>
      <c r="T1090">
        <v>4</v>
      </c>
      <c r="U1090" t="s">
        <v>43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tr">
        <f>IF(Table1[[#This Row],[YearsAtCompany]]&lt;1,"0-1",IF(Table1[[#This Row],[YearsAtCompany]]&lt;=3,"1-3",IF(Table1[[#This Row],[YearsAtCompany]]&lt;=6,"4-6","7+")))</f>
        <v>1-3</v>
      </c>
      <c r="AH1090">
        <f>Table1[[#This Row],[MonthlyIncome]]*12*0.75</f>
        <v>43569</v>
      </c>
      <c r="AI10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90">
        <f>IF(Table1[[#This Row],[Attrition]]="Yes",Table1[[#This Row],[EstReplacementCost]],0)</f>
        <v>0</v>
      </c>
    </row>
    <row r="1091" spans="1:36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47</v>
      </c>
      <c r="P1091">
        <v>4</v>
      </c>
      <c r="Q1091" t="s">
        <v>48</v>
      </c>
      <c r="R1091">
        <v>4285</v>
      </c>
      <c r="S1091">
        <v>3031</v>
      </c>
      <c r="T1091">
        <v>1</v>
      </c>
      <c r="U1091" t="s">
        <v>43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tr">
        <f>IF(Table1[[#This Row],[YearsAtCompany]]&lt;1,"0-1",IF(Table1[[#This Row],[YearsAtCompany]]&lt;=3,"1-3",IF(Table1[[#This Row],[YearsAtCompany]]&lt;=6,"4-6","7+")))</f>
        <v>7+</v>
      </c>
      <c r="AH1091">
        <f>Table1[[#This Row],[MonthlyIncome]]*12*0.75</f>
        <v>38565</v>
      </c>
      <c r="AI10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91">
        <f>IF(Table1[[#This Row],[Attrition]]="Yes",Table1[[#This Row],[EstReplacementCost]],0)</f>
        <v>0</v>
      </c>
    </row>
    <row r="1092" spans="1:36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54</v>
      </c>
      <c r="P1092">
        <v>1</v>
      </c>
      <c r="Q1092" t="s">
        <v>48</v>
      </c>
      <c r="R1092">
        <v>9715</v>
      </c>
      <c r="S1092">
        <v>7288</v>
      </c>
      <c r="T1092">
        <v>3</v>
      </c>
      <c r="U1092" t="s">
        <v>43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tr">
        <f>IF(Table1[[#This Row],[YearsAtCompany]]&lt;1,"0-1",IF(Table1[[#This Row],[YearsAtCompany]]&lt;=3,"1-3",IF(Table1[[#This Row],[YearsAtCompany]]&lt;=6,"4-6","7+")))</f>
        <v>7+</v>
      </c>
      <c r="AH1092">
        <f>Table1[[#This Row],[MonthlyIncome]]*12*0.75</f>
        <v>87435</v>
      </c>
      <c r="AI10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92">
        <f>IF(Table1[[#This Row],[Attrition]]="Yes",Table1[[#This Row],[EstReplacementCost]],0)</f>
        <v>0</v>
      </c>
    </row>
    <row r="1093" spans="1:36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53</v>
      </c>
      <c r="P1093">
        <v>2</v>
      </c>
      <c r="Q1093" t="s">
        <v>41</v>
      </c>
      <c r="R1093">
        <v>4320</v>
      </c>
      <c r="S1093">
        <v>24152</v>
      </c>
      <c r="T1093">
        <v>1</v>
      </c>
      <c r="U1093" t="s">
        <v>43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tr">
        <f>IF(Table1[[#This Row],[YearsAtCompany]]&lt;1,"0-1",IF(Table1[[#This Row],[YearsAtCompany]]&lt;=3,"1-3",IF(Table1[[#This Row],[YearsAtCompany]]&lt;=6,"4-6","7+")))</f>
        <v>4-6</v>
      </c>
      <c r="AH1093">
        <f>Table1[[#This Row],[MonthlyIncome]]*12*0.75</f>
        <v>38880</v>
      </c>
      <c r="AI10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93">
        <f>IF(Table1[[#This Row],[Attrition]]="Yes",Table1[[#This Row],[EstReplacementCost]],0)</f>
        <v>0</v>
      </c>
    </row>
    <row r="1094" spans="1:36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47</v>
      </c>
      <c r="P1094">
        <v>4</v>
      </c>
      <c r="Q1094" t="s">
        <v>48</v>
      </c>
      <c r="R1094">
        <v>2132</v>
      </c>
      <c r="S1094">
        <v>4585</v>
      </c>
      <c r="T1094">
        <v>4</v>
      </c>
      <c r="U1094" t="s">
        <v>43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tr">
        <f>IF(Table1[[#This Row],[YearsAtCompany]]&lt;1,"0-1",IF(Table1[[#This Row],[YearsAtCompany]]&lt;=3,"1-3",IF(Table1[[#This Row],[YearsAtCompany]]&lt;=6,"4-6","7+")))</f>
        <v>4-6</v>
      </c>
      <c r="AH1094">
        <f>Table1[[#This Row],[MonthlyIncome]]*12*0.75</f>
        <v>19188</v>
      </c>
      <c r="AI10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094">
        <f>IF(Table1[[#This Row],[Attrition]]="Yes",Table1[[#This Row],[EstReplacementCost]],0)</f>
        <v>0</v>
      </c>
    </row>
    <row r="1095" spans="1:36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54</v>
      </c>
      <c r="P1095">
        <v>4</v>
      </c>
      <c r="Q1095" t="s">
        <v>48</v>
      </c>
      <c r="R1095">
        <v>10124</v>
      </c>
      <c r="S1095">
        <v>18611</v>
      </c>
      <c r="T1095">
        <v>2</v>
      </c>
      <c r="U1095" t="s">
        <v>35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tr">
        <f>IF(Table1[[#This Row],[YearsAtCompany]]&lt;1,"0-1",IF(Table1[[#This Row],[YearsAtCompany]]&lt;=3,"1-3",IF(Table1[[#This Row],[YearsAtCompany]]&lt;=6,"4-6","7+")))</f>
        <v>7+</v>
      </c>
      <c r="AH1095">
        <f>Table1[[#This Row],[MonthlyIncome]]*12*0.75</f>
        <v>91116</v>
      </c>
      <c r="AI10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95">
        <f>IF(Table1[[#This Row],[Attrition]]="Yes",Table1[[#This Row],[EstReplacementCost]],0)</f>
        <v>0</v>
      </c>
    </row>
    <row r="1096" spans="1:36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48</v>
      </c>
      <c r="R1096">
        <v>5473</v>
      </c>
      <c r="S1096">
        <v>19345</v>
      </c>
      <c r="T1096">
        <v>0</v>
      </c>
      <c r="U1096" t="s">
        <v>43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tr">
        <f>IF(Table1[[#This Row],[YearsAtCompany]]&lt;1,"0-1",IF(Table1[[#This Row],[YearsAtCompany]]&lt;=3,"1-3",IF(Table1[[#This Row],[YearsAtCompany]]&lt;=6,"4-6","7+")))</f>
        <v>7+</v>
      </c>
      <c r="AH1096">
        <f>Table1[[#This Row],[MonthlyIncome]]*12*0.75</f>
        <v>49257</v>
      </c>
      <c r="AI10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96">
        <f>IF(Table1[[#This Row],[Attrition]]="Yes",Table1[[#This Row],[EstReplacementCost]],0)</f>
        <v>0</v>
      </c>
    </row>
    <row r="1097" spans="1:36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50</v>
      </c>
      <c r="P1097">
        <v>3</v>
      </c>
      <c r="Q1097" t="s">
        <v>48</v>
      </c>
      <c r="R1097">
        <v>5207</v>
      </c>
      <c r="S1097">
        <v>22949</v>
      </c>
      <c r="T1097">
        <v>1</v>
      </c>
      <c r="U1097" t="s">
        <v>35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tr">
        <f>IF(Table1[[#This Row],[YearsAtCompany]]&lt;1,"0-1",IF(Table1[[#This Row],[YearsAtCompany]]&lt;=3,"1-3",IF(Table1[[#This Row],[YearsAtCompany]]&lt;=6,"4-6","7+")))</f>
        <v>7+</v>
      </c>
      <c r="AH1097">
        <f>Table1[[#This Row],[MonthlyIncome]]*12*0.75</f>
        <v>46863</v>
      </c>
      <c r="AI10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97">
        <f>IF(Table1[[#This Row],[Attrition]]="Yes",Table1[[#This Row],[EstReplacementCost]],0)</f>
        <v>0</v>
      </c>
    </row>
    <row r="1098" spans="1:36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56</v>
      </c>
      <c r="P1098">
        <v>4</v>
      </c>
      <c r="Q1098" t="s">
        <v>41</v>
      </c>
      <c r="R1098">
        <v>16437</v>
      </c>
      <c r="S1098">
        <v>17381</v>
      </c>
      <c r="T1098">
        <v>1</v>
      </c>
      <c r="U1098" t="s">
        <v>35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tr">
        <f>IF(Table1[[#This Row],[YearsAtCompany]]&lt;1,"0-1",IF(Table1[[#This Row],[YearsAtCompany]]&lt;=3,"1-3",IF(Table1[[#This Row],[YearsAtCompany]]&lt;=6,"4-6","7+")))</f>
        <v>7+</v>
      </c>
      <c r="AH1098">
        <f>Table1[[#This Row],[MonthlyIncome]]*12*0.75</f>
        <v>147933</v>
      </c>
      <c r="AI10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98">
        <f>IF(Table1[[#This Row],[Attrition]]="Yes",Table1[[#This Row],[EstReplacementCost]],0)</f>
        <v>0</v>
      </c>
    </row>
    <row r="1099" spans="1:36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50</v>
      </c>
      <c r="P1099">
        <v>1</v>
      </c>
      <c r="Q1099" t="s">
        <v>52</v>
      </c>
      <c r="R1099">
        <v>2296</v>
      </c>
      <c r="S1099">
        <v>10036</v>
      </c>
      <c r="T1099">
        <v>0</v>
      </c>
      <c r="U1099" t="s">
        <v>43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tr">
        <f>IF(Table1[[#This Row],[YearsAtCompany]]&lt;1,"0-1",IF(Table1[[#This Row],[YearsAtCompany]]&lt;=3,"1-3",IF(Table1[[#This Row],[YearsAtCompany]]&lt;=6,"4-6","7+")))</f>
        <v>1-3</v>
      </c>
      <c r="AH1099">
        <f>Table1[[#This Row],[MonthlyIncome]]*12*0.75</f>
        <v>20664</v>
      </c>
      <c r="AI10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099">
        <f>IF(Table1[[#This Row],[Attrition]]="Yes",Table1[[#This Row],[EstReplacementCost]],0)</f>
        <v>0</v>
      </c>
    </row>
    <row r="1100" spans="1:36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54</v>
      </c>
      <c r="P1100">
        <v>4</v>
      </c>
      <c r="Q1100" t="s">
        <v>52</v>
      </c>
      <c r="R1100">
        <v>4069</v>
      </c>
      <c r="S1100">
        <v>8841</v>
      </c>
      <c r="T1100">
        <v>3</v>
      </c>
      <c r="U1100" t="s">
        <v>35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tr">
        <f>IF(Table1[[#This Row],[YearsAtCompany]]&lt;1,"0-1",IF(Table1[[#This Row],[YearsAtCompany]]&lt;=3,"1-3",IF(Table1[[#This Row],[YearsAtCompany]]&lt;=6,"4-6","7+")))</f>
        <v>1-3</v>
      </c>
      <c r="AH1100">
        <f>Table1[[#This Row],[MonthlyIncome]]*12*0.75</f>
        <v>36621</v>
      </c>
      <c r="AI11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00">
        <f>IF(Table1[[#This Row],[Attrition]]="Yes",Table1[[#This Row],[EstReplacementCost]],0)</f>
        <v>0</v>
      </c>
    </row>
    <row r="1101" spans="1:36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54</v>
      </c>
      <c r="P1101">
        <v>2</v>
      </c>
      <c r="Q1101" t="s">
        <v>52</v>
      </c>
      <c r="R1101">
        <v>7441</v>
      </c>
      <c r="S1101">
        <v>20933</v>
      </c>
      <c r="T1101">
        <v>1</v>
      </c>
      <c r="U1101" t="s">
        <v>43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tr">
        <f>IF(Table1[[#This Row],[YearsAtCompany]]&lt;1,"0-1",IF(Table1[[#This Row],[YearsAtCompany]]&lt;=3,"1-3",IF(Table1[[#This Row],[YearsAtCompany]]&lt;=6,"4-6","7+")))</f>
        <v>7+</v>
      </c>
      <c r="AH1101">
        <f>Table1[[#This Row],[MonthlyIncome]]*12*0.75</f>
        <v>66969</v>
      </c>
      <c r="AI11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01">
        <f>IF(Table1[[#This Row],[Attrition]]="Yes",Table1[[#This Row],[EstReplacementCost]],0)</f>
        <v>0</v>
      </c>
    </row>
    <row r="1102" spans="1:36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57</v>
      </c>
      <c r="P1102">
        <v>3</v>
      </c>
      <c r="Q1102" t="s">
        <v>48</v>
      </c>
      <c r="R1102">
        <v>2430</v>
      </c>
      <c r="S1102">
        <v>26204</v>
      </c>
      <c r="T1102">
        <v>0</v>
      </c>
      <c r="U1102" t="s">
        <v>43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tr">
        <f>IF(Table1[[#This Row],[YearsAtCompany]]&lt;1,"0-1",IF(Table1[[#This Row],[YearsAtCompany]]&lt;=3,"1-3",IF(Table1[[#This Row],[YearsAtCompany]]&lt;=6,"4-6","7+")))</f>
        <v>4-6</v>
      </c>
      <c r="AH1102">
        <f>Table1[[#This Row],[MonthlyIncome]]*12*0.75</f>
        <v>21870</v>
      </c>
      <c r="AI11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02">
        <f>IF(Table1[[#This Row],[Attrition]]="Yes",Table1[[#This Row],[EstReplacementCost]],0)</f>
        <v>0</v>
      </c>
    </row>
    <row r="1103" spans="1:36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47</v>
      </c>
      <c r="P1103">
        <v>2</v>
      </c>
      <c r="Q1103" t="s">
        <v>48</v>
      </c>
      <c r="R1103">
        <v>5878</v>
      </c>
      <c r="S1103">
        <v>15624</v>
      </c>
      <c r="T1103">
        <v>3</v>
      </c>
      <c r="U1103" t="s">
        <v>43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tr">
        <f>IF(Table1[[#This Row],[YearsAtCompany]]&lt;1,"0-1",IF(Table1[[#This Row],[YearsAtCompany]]&lt;=3,"1-3",IF(Table1[[#This Row],[YearsAtCompany]]&lt;=6,"4-6","7+")))</f>
        <v>7+</v>
      </c>
      <c r="AH1103">
        <f>Table1[[#This Row],[MonthlyIncome]]*12*0.75</f>
        <v>52902</v>
      </c>
      <c r="AI11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03">
        <f>IF(Table1[[#This Row],[Attrition]]="Yes",Table1[[#This Row],[EstReplacementCost]],0)</f>
        <v>0</v>
      </c>
    </row>
    <row r="1104" spans="1:36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57</v>
      </c>
      <c r="P1104">
        <v>4</v>
      </c>
      <c r="Q1104" t="s">
        <v>41</v>
      </c>
      <c r="R1104">
        <v>2644</v>
      </c>
      <c r="S1104">
        <v>17001</v>
      </c>
      <c r="T1104">
        <v>3</v>
      </c>
      <c r="U1104" t="s">
        <v>35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tr">
        <f>IF(Table1[[#This Row],[YearsAtCompany]]&lt;1,"0-1",IF(Table1[[#This Row],[YearsAtCompany]]&lt;=3,"1-3",IF(Table1[[#This Row],[YearsAtCompany]]&lt;=6,"4-6","7+")))</f>
        <v>1-3</v>
      </c>
      <c r="AH1104">
        <f>Table1[[#This Row],[MonthlyIncome]]*12*0.75</f>
        <v>23796</v>
      </c>
      <c r="AI11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04">
        <f>IF(Table1[[#This Row],[Attrition]]="Yes",Table1[[#This Row],[EstReplacementCost]],0)</f>
        <v>0</v>
      </c>
    </row>
    <row r="1105" spans="1:36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52</v>
      </c>
      <c r="R1105">
        <v>6439</v>
      </c>
      <c r="S1105">
        <v>13693</v>
      </c>
      <c r="T1105">
        <v>8</v>
      </c>
      <c r="U1105" t="s">
        <v>43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tr">
        <f>IF(Table1[[#This Row],[YearsAtCompany]]&lt;1,"0-1",IF(Table1[[#This Row],[YearsAtCompany]]&lt;=3,"1-3",IF(Table1[[#This Row],[YearsAtCompany]]&lt;=6,"4-6","7+")))</f>
        <v>7+</v>
      </c>
      <c r="AH1105">
        <f>Table1[[#This Row],[MonthlyIncome]]*12*0.75</f>
        <v>57951</v>
      </c>
      <c r="AI11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05">
        <f>IF(Table1[[#This Row],[Attrition]]="Yes",Table1[[#This Row],[EstReplacementCost]],0)</f>
        <v>0</v>
      </c>
    </row>
    <row r="1106" spans="1:36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47</v>
      </c>
      <c r="P1106">
        <v>3</v>
      </c>
      <c r="Q1106" t="s">
        <v>48</v>
      </c>
      <c r="R1106">
        <v>2451</v>
      </c>
      <c r="S1106">
        <v>22376</v>
      </c>
      <c r="T1106">
        <v>6</v>
      </c>
      <c r="U1106" t="s">
        <v>43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tr">
        <f>IF(Table1[[#This Row],[YearsAtCompany]]&lt;1,"0-1",IF(Table1[[#This Row],[YearsAtCompany]]&lt;=3,"1-3",IF(Table1[[#This Row],[YearsAtCompany]]&lt;=6,"4-6","7+")))</f>
        <v>1-3</v>
      </c>
      <c r="AH1106">
        <f>Table1[[#This Row],[MonthlyIncome]]*12*0.75</f>
        <v>22059</v>
      </c>
      <c r="AI11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06">
        <f>IF(Table1[[#This Row],[Attrition]]="Yes",Table1[[#This Row],[EstReplacementCost]],0)</f>
        <v>0</v>
      </c>
    </row>
    <row r="1107" spans="1:36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48</v>
      </c>
      <c r="R1107">
        <v>6392</v>
      </c>
      <c r="S1107">
        <v>10589</v>
      </c>
      <c r="T1107">
        <v>2</v>
      </c>
      <c r="U1107" t="s">
        <v>43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tr">
        <f>IF(Table1[[#This Row],[YearsAtCompany]]&lt;1,"0-1",IF(Table1[[#This Row],[YearsAtCompany]]&lt;=3,"1-3",IF(Table1[[#This Row],[YearsAtCompany]]&lt;=6,"4-6","7+")))</f>
        <v>1-3</v>
      </c>
      <c r="AH1107">
        <f>Table1[[#This Row],[MonthlyIncome]]*12*0.75</f>
        <v>57528</v>
      </c>
      <c r="AI11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07">
        <f>IF(Table1[[#This Row],[Attrition]]="Yes",Table1[[#This Row],[EstReplacementCost]],0)</f>
        <v>0</v>
      </c>
    </row>
    <row r="1108" spans="1:36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48</v>
      </c>
      <c r="R1108">
        <v>9714</v>
      </c>
      <c r="S1108">
        <v>5323</v>
      </c>
      <c r="T1108">
        <v>1</v>
      </c>
      <c r="U1108" t="s">
        <v>43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tr">
        <f>IF(Table1[[#This Row],[YearsAtCompany]]&lt;1,"0-1",IF(Table1[[#This Row],[YearsAtCompany]]&lt;=3,"1-3",IF(Table1[[#This Row],[YearsAtCompany]]&lt;=6,"4-6","7+")))</f>
        <v>7+</v>
      </c>
      <c r="AH1108">
        <f>Table1[[#This Row],[MonthlyIncome]]*12*0.75</f>
        <v>87426</v>
      </c>
      <c r="AI11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08">
        <f>IF(Table1[[#This Row],[Attrition]]="Yes",Table1[[#This Row],[EstReplacementCost]],0)</f>
        <v>87426</v>
      </c>
    </row>
    <row r="1109" spans="1:36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61</v>
      </c>
      <c r="P1109">
        <v>3</v>
      </c>
      <c r="Q1109" t="s">
        <v>48</v>
      </c>
      <c r="R1109">
        <v>6077</v>
      </c>
      <c r="S1109">
        <v>14814</v>
      </c>
      <c r="T1109">
        <v>3</v>
      </c>
      <c r="U1109" t="s">
        <v>43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tr">
        <f>IF(Table1[[#This Row],[YearsAtCompany]]&lt;1,"0-1",IF(Table1[[#This Row],[YearsAtCompany]]&lt;=3,"1-3",IF(Table1[[#This Row],[YearsAtCompany]]&lt;=6,"4-6","7+")))</f>
        <v>4-6</v>
      </c>
      <c r="AH1109">
        <f>Table1[[#This Row],[MonthlyIncome]]*12*0.75</f>
        <v>54693</v>
      </c>
      <c r="AI11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09">
        <f>IF(Table1[[#This Row],[Attrition]]="Yes",Table1[[#This Row],[EstReplacementCost]],0)</f>
        <v>0</v>
      </c>
    </row>
    <row r="1110" spans="1:36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50</v>
      </c>
      <c r="P1110">
        <v>1</v>
      </c>
      <c r="Q1110" t="s">
        <v>41</v>
      </c>
      <c r="R1110">
        <v>2450</v>
      </c>
      <c r="S1110">
        <v>21731</v>
      </c>
      <c r="T1110">
        <v>1</v>
      </c>
      <c r="U1110" t="s">
        <v>43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tr">
        <f>IF(Table1[[#This Row],[YearsAtCompany]]&lt;1,"0-1",IF(Table1[[#This Row],[YearsAtCompany]]&lt;=3,"1-3",IF(Table1[[#This Row],[YearsAtCompany]]&lt;=6,"4-6","7+")))</f>
        <v>1-3</v>
      </c>
      <c r="AH1110">
        <f>Table1[[#This Row],[MonthlyIncome]]*12*0.75</f>
        <v>22050</v>
      </c>
      <c r="AI11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10">
        <f>IF(Table1[[#This Row],[Attrition]]="Yes",Table1[[#This Row],[EstReplacementCost]],0)</f>
        <v>0</v>
      </c>
    </row>
    <row r="1111" spans="1:36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48</v>
      </c>
      <c r="R1111">
        <v>9250</v>
      </c>
      <c r="S1111">
        <v>17799</v>
      </c>
      <c r="T1111">
        <v>3</v>
      </c>
      <c r="U1111" t="s">
        <v>43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tr">
        <f>IF(Table1[[#This Row],[YearsAtCompany]]&lt;1,"0-1",IF(Table1[[#This Row],[YearsAtCompany]]&lt;=3,"1-3",IF(Table1[[#This Row],[YearsAtCompany]]&lt;=6,"4-6","7+")))</f>
        <v>4-6</v>
      </c>
      <c r="AH1111">
        <f>Table1[[#This Row],[MonthlyIncome]]*12*0.75</f>
        <v>83250</v>
      </c>
      <c r="AI11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11">
        <f>IF(Table1[[#This Row],[Attrition]]="Yes",Table1[[#This Row],[EstReplacementCost]],0)</f>
        <v>0</v>
      </c>
    </row>
    <row r="1112" spans="1:36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50</v>
      </c>
      <c r="P1112">
        <v>1</v>
      </c>
      <c r="Q1112" t="s">
        <v>52</v>
      </c>
      <c r="R1112">
        <v>2074</v>
      </c>
      <c r="S1112">
        <v>26619</v>
      </c>
      <c r="T1112">
        <v>1</v>
      </c>
      <c r="U1112" t="s">
        <v>35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tr">
        <f>IF(Table1[[#This Row],[YearsAtCompany]]&lt;1,"0-1",IF(Table1[[#This Row],[YearsAtCompany]]&lt;=3,"1-3",IF(Table1[[#This Row],[YearsAtCompany]]&lt;=6,"4-6","7+")))</f>
        <v>1-3</v>
      </c>
      <c r="AH1112">
        <f>Table1[[#This Row],[MonthlyIncome]]*12*0.75</f>
        <v>18666</v>
      </c>
      <c r="AI11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112">
        <f>IF(Table1[[#This Row],[Attrition]]="Yes",Table1[[#This Row],[EstReplacementCost]],0)</f>
        <v>18666</v>
      </c>
    </row>
    <row r="1113" spans="1:36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53</v>
      </c>
      <c r="P1113">
        <v>4</v>
      </c>
      <c r="Q1113" t="s">
        <v>48</v>
      </c>
      <c r="R1113">
        <v>10169</v>
      </c>
      <c r="S1113">
        <v>14618</v>
      </c>
      <c r="T1113">
        <v>0</v>
      </c>
      <c r="U1113" t="s">
        <v>43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tr">
        <f>IF(Table1[[#This Row],[YearsAtCompany]]&lt;1,"0-1",IF(Table1[[#This Row],[YearsAtCompany]]&lt;=3,"1-3",IF(Table1[[#This Row],[YearsAtCompany]]&lt;=6,"4-6","7+")))</f>
        <v>7+</v>
      </c>
      <c r="AH1113">
        <f>Table1[[#This Row],[MonthlyIncome]]*12*0.75</f>
        <v>91521</v>
      </c>
      <c r="AI11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13">
        <f>IF(Table1[[#This Row],[Attrition]]="Yes",Table1[[#This Row],[EstReplacementCost]],0)</f>
        <v>91521</v>
      </c>
    </row>
    <row r="1114" spans="1:36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53</v>
      </c>
      <c r="P1114">
        <v>2</v>
      </c>
      <c r="Q1114" t="s">
        <v>48</v>
      </c>
      <c r="R1114">
        <v>4855</v>
      </c>
      <c r="S1114">
        <v>7653</v>
      </c>
      <c r="T1114">
        <v>4</v>
      </c>
      <c r="U1114" t="s">
        <v>43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tr">
        <f>IF(Table1[[#This Row],[YearsAtCompany]]&lt;1,"0-1",IF(Table1[[#This Row],[YearsAtCompany]]&lt;=3,"1-3",IF(Table1[[#This Row],[YearsAtCompany]]&lt;=6,"4-6","7+")))</f>
        <v>4-6</v>
      </c>
      <c r="AH1114">
        <f>Table1[[#This Row],[MonthlyIncome]]*12*0.75</f>
        <v>43695</v>
      </c>
      <c r="AI11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14">
        <f>IF(Table1[[#This Row],[Attrition]]="Yes",Table1[[#This Row],[EstReplacementCost]],0)</f>
        <v>43695</v>
      </c>
    </row>
    <row r="1115" spans="1:36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47</v>
      </c>
      <c r="P1115">
        <v>1</v>
      </c>
      <c r="Q1115" t="s">
        <v>48</v>
      </c>
      <c r="R1115">
        <v>4087</v>
      </c>
      <c r="S1115">
        <v>25174</v>
      </c>
      <c r="T1115">
        <v>4</v>
      </c>
      <c r="U1115" t="s">
        <v>43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tr">
        <f>IF(Table1[[#This Row],[YearsAtCompany]]&lt;1,"0-1",IF(Table1[[#This Row],[YearsAtCompany]]&lt;=3,"1-3",IF(Table1[[#This Row],[YearsAtCompany]]&lt;=6,"4-6","7+")))</f>
        <v>4-6</v>
      </c>
      <c r="AH1115">
        <f>Table1[[#This Row],[MonthlyIncome]]*12*0.75</f>
        <v>36783</v>
      </c>
      <c r="AI11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15">
        <f>IF(Table1[[#This Row],[Attrition]]="Yes",Table1[[#This Row],[EstReplacementCost]],0)</f>
        <v>0</v>
      </c>
    </row>
    <row r="1116" spans="1:36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47</v>
      </c>
      <c r="P1116">
        <v>1</v>
      </c>
      <c r="Q1116" t="s">
        <v>48</v>
      </c>
      <c r="R1116">
        <v>2367</v>
      </c>
      <c r="S1116">
        <v>16530</v>
      </c>
      <c r="T1116">
        <v>8</v>
      </c>
      <c r="U1116" t="s">
        <v>43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tr">
        <f>IF(Table1[[#This Row],[YearsAtCompany]]&lt;1,"0-1",IF(Table1[[#This Row],[YearsAtCompany]]&lt;=3,"1-3",IF(Table1[[#This Row],[YearsAtCompany]]&lt;=6,"4-6","7+")))</f>
        <v>7+</v>
      </c>
      <c r="AH1116">
        <f>Table1[[#This Row],[MonthlyIncome]]*12*0.75</f>
        <v>21303</v>
      </c>
      <c r="AI11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16">
        <f>IF(Table1[[#This Row],[Attrition]]="Yes",Table1[[#This Row],[EstReplacementCost]],0)</f>
        <v>0</v>
      </c>
    </row>
    <row r="1117" spans="1:36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47</v>
      </c>
      <c r="P1117">
        <v>4</v>
      </c>
      <c r="Q1117" t="s">
        <v>41</v>
      </c>
      <c r="R1117">
        <v>2972</v>
      </c>
      <c r="S1117">
        <v>22061</v>
      </c>
      <c r="T1117">
        <v>1</v>
      </c>
      <c r="U1117" t="s">
        <v>43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tr">
        <f>IF(Table1[[#This Row],[YearsAtCompany]]&lt;1,"0-1",IF(Table1[[#This Row],[YearsAtCompany]]&lt;=3,"1-3",IF(Table1[[#This Row],[YearsAtCompany]]&lt;=6,"4-6","7+")))</f>
        <v>1-3</v>
      </c>
      <c r="AH1117">
        <f>Table1[[#This Row],[MonthlyIncome]]*12*0.75</f>
        <v>26748</v>
      </c>
      <c r="AI11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17">
        <f>IF(Table1[[#This Row],[Attrition]]="Yes",Table1[[#This Row],[EstReplacementCost]],0)</f>
        <v>0</v>
      </c>
    </row>
    <row r="1118" spans="1:36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56</v>
      </c>
      <c r="P1118">
        <v>4</v>
      </c>
      <c r="Q1118" t="s">
        <v>48</v>
      </c>
      <c r="R1118">
        <v>19586</v>
      </c>
      <c r="S1118">
        <v>23037</v>
      </c>
      <c r="T1118">
        <v>1</v>
      </c>
      <c r="U1118" t="s">
        <v>43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tr">
        <f>IF(Table1[[#This Row],[YearsAtCompany]]&lt;1,"0-1",IF(Table1[[#This Row],[YearsAtCompany]]&lt;=3,"1-3",IF(Table1[[#This Row],[YearsAtCompany]]&lt;=6,"4-6","7+")))</f>
        <v>7+</v>
      </c>
      <c r="AH1118">
        <f>Table1[[#This Row],[MonthlyIncome]]*12*0.75</f>
        <v>176274</v>
      </c>
      <c r="AI11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18">
        <f>IF(Table1[[#This Row],[Attrition]]="Yes",Table1[[#This Row],[EstReplacementCost]],0)</f>
        <v>0</v>
      </c>
    </row>
    <row r="1119" spans="1:36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47</v>
      </c>
      <c r="P1119">
        <v>4</v>
      </c>
      <c r="Q1119" t="s">
        <v>48</v>
      </c>
      <c r="R1119">
        <v>5484</v>
      </c>
      <c r="S1119">
        <v>13008</v>
      </c>
      <c r="T1119">
        <v>9</v>
      </c>
      <c r="U1119" t="s">
        <v>43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tr">
        <f>IF(Table1[[#This Row],[YearsAtCompany]]&lt;1,"0-1",IF(Table1[[#This Row],[YearsAtCompany]]&lt;=3,"1-3",IF(Table1[[#This Row],[YearsAtCompany]]&lt;=6,"4-6","7+")))</f>
        <v>1-3</v>
      </c>
      <c r="AH1119">
        <f>Table1[[#This Row],[MonthlyIncome]]*12*0.75</f>
        <v>49356</v>
      </c>
      <c r="AI11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19">
        <f>IF(Table1[[#This Row],[Attrition]]="Yes",Table1[[#This Row],[EstReplacementCost]],0)</f>
        <v>0</v>
      </c>
    </row>
    <row r="1120" spans="1:36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47</v>
      </c>
      <c r="P1120">
        <v>4</v>
      </c>
      <c r="Q1120" t="s">
        <v>48</v>
      </c>
      <c r="R1120">
        <v>2061</v>
      </c>
      <c r="S1120">
        <v>11133</v>
      </c>
      <c r="T1120">
        <v>1</v>
      </c>
      <c r="U1120" t="s">
        <v>43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tr">
        <f>IF(Table1[[#This Row],[YearsAtCompany]]&lt;1,"0-1",IF(Table1[[#This Row],[YearsAtCompany]]&lt;=3,"1-3",IF(Table1[[#This Row],[YearsAtCompany]]&lt;=6,"4-6","7+")))</f>
        <v>1-3</v>
      </c>
      <c r="AH1120">
        <f>Table1[[#This Row],[MonthlyIncome]]*12*0.75</f>
        <v>18549</v>
      </c>
      <c r="AI11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20">
        <f>IF(Table1[[#This Row],[Attrition]]="Yes",Table1[[#This Row],[EstReplacementCost]],0)</f>
        <v>0</v>
      </c>
    </row>
    <row r="1121" spans="1:36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48</v>
      </c>
      <c r="R1121">
        <v>9924</v>
      </c>
      <c r="S1121">
        <v>12355</v>
      </c>
      <c r="T1121">
        <v>0</v>
      </c>
      <c r="U1121" t="s">
        <v>43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tr">
        <f>IF(Table1[[#This Row],[YearsAtCompany]]&lt;1,"0-1",IF(Table1[[#This Row],[YearsAtCompany]]&lt;=3,"1-3",IF(Table1[[#This Row],[YearsAtCompany]]&lt;=6,"4-6","7+")))</f>
        <v>7+</v>
      </c>
      <c r="AH1121">
        <f>Table1[[#This Row],[MonthlyIncome]]*12*0.75</f>
        <v>89316</v>
      </c>
      <c r="AI11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21">
        <f>IF(Table1[[#This Row],[Attrition]]="Yes",Table1[[#This Row],[EstReplacementCost]],0)</f>
        <v>0</v>
      </c>
    </row>
    <row r="1122" spans="1:36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>
        <v>4198</v>
      </c>
      <c r="S1122">
        <v>16379</v>
      </c>
      <c r="T1122">
        <v>2</v>
      </c>
      <c r="U1122" t="s">
        <v>43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tr">
        <f>IF(Table1[[#This Row],[YearsAtCompany]]&lt;1,"0-1",IF(Table1[[#This Row],[YearsAtCompany]]&lt;=3,"1-3",IF(Table1[[#This Row],[YearsAtCompany]]&lt;=6,"4-6","7+")))</f>
        <v>1-3</v>
      </c>
      <c r="AH1122">
        <f>Table1[[#This Row],[MonthlyIncome]]*12*0.75</f>
        <v>37782</v>
      </c>
      <c r="AI11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22">
        <f>IF(Table1[[#This Row],[Attrition]]="Yes",Table1[[#This Row],[EstReplacementCost]],0)</f>
        <v>0</v>
      </c>
    </row>
    <row r="1123" spans="1:36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>
        <v>6815</v>
      </c>
      <c r="S1123">
        <v>21447</v>
      </c>
      <c r="T1123">
        <v>6</v>
      </c>
      <c r="U1123" t="s">
        <v>43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tr">
        <f>IF(Table1[[#This Row],[YearsAtCompany]]&lt;1,"0-1",IF(Table1[[#This Row],[YearsAtCompany]]&lt;=3,"1-3",IF(Table1[[#This Row],[YearsAtCompany]]&lt;=6,"4-6","7+")))</f>
        <v>1-3</v>
      </c>
      <c r="AH1123">
        <f>Table1[[#This Row],[MonthlyIncome]]*12*0.75</f>
        <v>61335</v>
      </c>
      <c r="AI11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23">
        <f>IF(Table1[[#This Row],[Attrition]]="Yes",Table1[[#This Row],[EstReplacementCost]],0)</f>
        <v>0</v>
      </c>
    </row>
    <row r="1124" spans="1:36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50</v>
      </c>
      <c r="P1124">
        <v>1</v>
      </c>
      <c r="Q1124" t="s">
        <v>41</v>
      </c>
      <c r="R1124">
        <v>4723</v>
      </c>
      <c r="S1124">
        <v>16213</v>
      </c>
      <c r="T1124">
        <v>1</v>
      </c>
      <c r="U1124" t="s">
        <v>35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tr">
        <f>IF(Table1[[#This Row],[YearsAtCompany]]&lt;1,"0-1",IF(Table1[[#This Row],[YearsAtCompany]]&lt;=3,"1-3",IF(Table1[[#This Row],[YearsAtCompany]]&lt;=6,"4-6","7+")))</f>
        <v>7+</v>
      </c>
      <c r="AH1124">
        <f>Table1[[#This Row],[MonthlyIncome]]*12*0.75</f>
        <v>42507</v>
      </c>
      <c r="AI11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24">
        <f>IF(Table1[[#This Row],[Attrition]]="Yes",Table1[[#This Row],[EstReplacementCost]],0)</f>
        <v>0</v>
      </c>
    </row>
    <row r="1125" spans="1:36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54</v>
      </c>
      <c r="P1125">
        <v>3</v>
      </c>
      <c r="Q1125" t="s">
        <v>41</v>
      </c>
      <c r="R1125">
        <v>6142</v>
      </c>
      <c r="S1125">
        <v>4223</v>
      </c>
      <c r="T1125">
        <v>3</v>
      </c>
      <c r="U1125" t="s">
        <v>35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tr">
        <f>IF(Table1[[#This Row],[YearsAtCompany]]&lt;1,"0-1",IF(Table1[[#This Row],[YearsAtCompany]]&lt;=3,"1-3",IF(Table1[[#This Row],[YearsAtCompany]]&lt;=6,"4-6","7+")))</f>
        <v>4-6</v>
      </c>
      <c r="AH1125">
        <f>Table1[[#This Row],[MonthlyIncome]]*12*0.75</f>
        <v>55278</v>
      </c>
      <c r="AI11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25">
        <f>IF(Table1[[#This Row],[Attrition]]="Yes",Table1[[#This Row],[EstReplacementCost]],0)</f>
        <v>0</v>
      </c>
    </row>
    <row r="1126" spans="1:36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48</v>
      </c>
      <c r="R1126">
        <v>8237</v>
      </c>
      <c r="S1126">
        <v>4658</v>
      </c>
      <c r="T1126">
        <v>2</v>
      </c>
      <c r="U1126" t="s">
        <v>43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tr">
        <f>IF(Table1[[#This Row],[YearsAtCompany]]&lt;1,"0-1",IF(Table1[[#This Row],[YearsAtCompany]]&lt;=3,"1-3",IF(Table1[[#This Row],[YearsAtCompany]]&lt;=6,"4-6","7+")))</f>
        <v>7+</v>
      </c>
      <c r="AH1126">
        <f>Table1[[#This Row],[MonthlyIncome]]*12*0.75</f>
        <v>74133</v>
      </c>
      <c r="AI11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26">
        <f>IF(Table1[[#This Row],[Attrition]]="Yes",Table1[[#This Row],[EstReplacementCost]],0)</f>
        <v>0</v>
      </c>
    </row>
    <row r="1127" spans="1:36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54</v>
      </c>
      <c r="P1127">
        <v>4</v>
      </c>
      <c r="Q1127" t="s">
        <v>52</v>
      </c>
      <c r="R1127">
        <v>8853</v>
      </c>
      <c r="S1127">
        <v>24483</v>
      </c>
      <c r="T1127">
        <v>1</v>
      </c>
      <c r="U1127" t="s">
        <v>43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tr">
        <f>IF(Table1[[#This Row],[YearsAtCompany]]&lt;1,"0-1",IF(Table1[[#This Row],[YearsAtCompany]]&lt;=3,"1-3",IF(Table1[[#This Row],[YearsAtCompany]]&lt;=6,"4-6","7+")))</f>
        <v>4-6</v>
      </c>
      <c r="AH1127">
        <f>Table1[[#This Row],[MonthlyIncome]]*12*0.75</f>
        <v>79677</v>
      </c>
      <c r="AI11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27">
        <f>IF(Table1[[#This Row],[Attrition]]="Yes",Table1[[#This Row],[EstReplacementCost]],0)</f>
        <v>0</v>
      </c>
    </row>
    <row r="1128" spans="1:36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56</v>
      </c>
      <c r="P1128">
        <v>3</v>
      </c>
      <c r="Q1128" t="s">
        <v>48</v>
      </c>
      <c r="R1128">
        <v>19331</v>
      </c>
      <c r="S1128">
        <v>19519</v>
      </c>
      <c r="T1128">
        <v>4</v>
      </c>
      <c r="U1128" t="s">
        <v>35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tr">
        <f>IF(Table1[[#This Row],[YearsAtCompany]]&lt;1,"0-1",IF(Table1[[#This Row],[YearsAtCompany]]&lt;=3,"1-3",IF(Table1[[#This Row],[YearsAtCompany]]&lt;=6,"4-6","7+")))</f>
        <v>1-3</v>
      </c>
      <c r="AH1128">
        <f>Table1[[#This Row],[MonthlyIncome]]*12*0.75</f>
        <v>173979</v>
      </c>
      <c r="AI11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28">
        <f>IF(Table1[[#This Row],[Attrition]]="Yes",Table1[[#This Row],[EstReplacementCost]],0)</f>
        <v>0</v>
      </c>
    </row>
    <row r="1129" spans="1:36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47</v>
      </c>
      <c r="P1129">
        <v>3</v>
      </c>
      <c r="Q1129" t="s">
        <v>48</v>
      </c>
      <c r="R1129">
        <v>2073</v>
      </c>
      <c r="S1129">
        <v>12826</v>
      </c>
      <c r="T1129">
        <v>2</v>
      </c>
      <c r="U1129" t="s">
        <v>43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tr">
        <f>IF(Table1[[#This Row],[YearsAtCompany]]&lt;1,"0-1",IF(Table1[[#This Row],[YearsAtCompany]]&lt;=3,"1-3",IF(Table1[[#This Row],[YearsAtCompany]]&lt;=6,"4-6","7+")))</f>
        <v>1-3</v>
      </c>
      <c r="AH1129">
        <f>Table1[[#This Row],[MonthlyIncome]]*12*0.75</f>
        <v>18657</v>
      </c>
      <c r="AI11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29">
        <f>IF(Table1[[#This Row],[Attrition]]="Yes",Table1[[#This Row],[EstReplacementCost]],0)</f>
        <v>0</v>
      </c>
    </row>
    <row r="1130" spans="1:36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50</v>
      </c>
      <c r="P1130">
        <v>1</v>
      </c>
      <c r="Q1130" t="s">
        <v>48</v>
      </c>
      <c r="R1130">
        <v>5562</v>
      </c>
      <c r="S1130">
        <v>19711</v>
      </c>
      <c r="T1130">
        <v>3</v>
      </c>
      <c r="U1130" t="s">
        <v>35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tr">
        <f>IF(Table1[[#This Row],[YearsAtCompany]]&lt;1,"0-1",IF(Table1[[#This Row],[YearsAtCompany]]&lt;=3,"1-3",IF(Table1[[#This Row],[YearsAtCompany]]&lt;=6,"4-6","7+")))</f>
        <v>1-3</v>
      </c>
      <c r="AH1130">
        <f>Table1[[#This Row],[MonthlyIncome]]*12*0.75</f>
        <v>50058</v>
      </c>
      <c r="AI11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130">
        <f>IF(Table1[[#This Row],[Attrition]]="Yes",Table1[[#This Row],[EstReplacementCost]],0)</f>
        <v>0</v>
      </c>
    </row>
    <row r="1131" spans="1:36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56</v>
      </c>
      <c r="P1131">
        <v>4</v>
      </c>
      <c r="Q1131" t="s">
        <v>41</v>
      </c>
      <c r="R1131">
        <v>19613</v>
      </c>
      <c r="S1131">
        <v>26362</v>
      </c>
      <c r="T1131">
        <v>8</v>
      </c>
      <c r="U1131" t="s">
        <v>43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tr">
        <f>IF(Table1[[#This Row],[YearsAtCompany]]&lt;1,"0-1",IF(Table1[[#This Row],[YearsAtCompany]]&lt;=3,"1-3",IF(Table1[[#This Row],[YearsAtCompany]]&lt;=6,"4-6","7+")))</f>
        <v>1-3</v>
      </c>
      <c r="AH1131">
        <f>Table1[[#This Row],[MonthlyIncome]]*12*0.75</f>
        <v>176517</v>
      </c>
      <c r="AI11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31">
        <f>IF(Table1[[#This Row],[Attrition]]="Yes",Table1[[#This Row],[EstReplacementCost]],0)</f>
        <v>0</v>
      </c>
    </row>
    <row r="1132" spans="1:36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50</v>
      </c>
      <c r="P1132">
        <v>3</v>
      </c>
      <c r="Q1132" t="s">
        <v>48</v>
      </c>
      <c r="R1132">
        <v>3407</v>
      </c>
      <c r="S1132">
        <v>25348</v>
      </c>
      <c r="T1132">
        <v>1</v>
      </c>
      <c r="U1132" t="s">
        <v>43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tr">
        <f>IF(Table1[[#This Row],[YearsAtCompany]]&lt;1,"0-1",IF(Table1[[#This Row],[YearsAtCompany]]&lt;=3,"1-3",IF(Table1[[#This Row],[YearsAtCompany]]&lt;=6,"4-6","7+")))</f>
        <v>7+</v>
      </c>
      <c r="AH1132">
        <f>Table1[[#This Row],[MonthlyIncome]]*12*0.75</f>
        <v>30663</v>
      </c>
      <c r="AI11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32">
        <f>IF(Table1[[#This Row],[Attrition]]="Yes",Table1[[#This Row],[EstReplacementCost]],0)</f>
        <v>0</v>
      </c>
    </row>
    <row r="1133" spans="1:36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54</v>
      </c>
      <c r="P1133">
        <v>3</v>
      </c>
      <c r="Q1133" t="s">
        <v>48</v>
      </c>
      <c r="R1133">
        <v>5063</v>
      </c>
      <c r="S1133">
        <v>15332</v>
      </c>
      <c r="T1133">
        <v>1</v>
      </c>
      <c r="U1133" t="s">
        <v>43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tr">
        <f>IF(Table1[[#This Row],[YearsAtCompany]]&lt;1,"0-1",IF(Table1[[#This Row],[YearsAtCompany]]&lt;=3,"1-3",IF(Table1[[#This Row],[YearsAtCompany]]&lt;=6,"4-6","7+")))</f>
        <v>7+</v>
      </c>
      <c r="AH1133">
        <f>Table1[[#This Row],[MonthlyIncome]]*12*0.75</f>
        <v>45567</v>
      </c>
      <c r="AI11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33">
        <f>IF(Table1[[#This Row],[Attrition]]="Yes",Table1[[#This Row],[EstReplacementCost]],0)</f>
        <v>0</v>
      </c>
    </row>
    <row r="1134" spans="1:36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48</v>
      </c>
      <c r="R1134">
        <v>4639</v>
      </c>
      <c r="S1134">
        <v>11262</v>
      </c>
      <c r="T1134">
        <v>1</v>
      </c>
      <c r="U1134" t="s">
        <v>43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tr">
        <f>IF(Table1[[#This Row],[YearsAtCompany]]&lt;1,"0-1",IF(Table1[[#This Row],[YearsAtCompany]]&lt;=3,"1-3",IF(Table1[[#This Row],[YearsAtCompany]]&lt;=6,"4-6","7+")))</f>
        <v>4-6</v>
      </c>
      <c r="AH1134">
        <f>Table1[[#This Row],[MonthlyIncome]]*12*0.75</f>
        <v>41751</v>
      </c>
      <c r="AI11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34">
        <f>IF(Table1[[#This Row],[Attrition]]="Yes",Table1[[#This Row],[EstReplacementCost]],0)</f>
        <v>0</v>
      </c>
    </row>
    <row r="1135" spans="1:36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50</v>
      </c>
      <c r="P1135">
        <v>2</v>
      </c>
      <c r="Q1135" t="s">
        <v>52</v>
      </c>
      <c r="R1135">
        <v>4876</v>
      </c>
      <c r="S1135">
        <v>5855</v>
      </c>
      <c r="T1135">
        <v>5</v>
      </c>
      <c r="U1135" t="s">
        <v>43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tr">
        <f>IF(Table1[[#This Row],[YearsAtCompany]]&lt;1,"0-1",IF(Table1[[#This Row],[YearsAtCompany]]&lt;=3,"1-3",IF(Table1[[#This Row],[YearsAtCompany]]&lt;=6,"4-6","7+")))</f>
        <v>4-6</v>
      </c>
      <c r="AH1135">
        <f>Table1[[#This Row],[MonthlyIncome]]*12*0.75</f>
        <v>43884</v>
      </c>
      <c r="AI11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35">
        <f>IF(Table1[[#This Row],[Attrition]]="Yes",Table1[[#This Row],[EstReplacementCost]],0)</f>
        <v>0</v>
      </c>
    </row>
    <row r="1136" spans="1:36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50</v>
      </c>
      <c r="P1136">
        <v>4</v>
      </c>
      <c r="Q1136" t="s">
        <v>48</v>
      </c>
      <c r="R1136">
        <v>2690</v>
      </c>
      <c r="S1136">
        <v>7713</v>
      </c>
      <c r="T1136">
        <v>1</v>
      </c>
      <c r="U1136" t="s">
        <v>43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tr">
        <f>IF(Table1[[#This Row],[YearsAtCompany]]&lt;1,"0-1",IF(Table1[[#This Row],[YearsAtCompany]]&lt;=3,"1-3",IF(Table1[[#This Row],[YearsAtCompany]]&lt;=6,"4-6","7+")))</f>
        <v>1-3</v>
      </c>
      <c r="AH1136">
        <f>Table1[[#This Row],[MonthlyIncome]]*12*0.75</f>
        <v>24210</v>
      </c>
      <c r="AI11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36">
        <f>IF(Table1[[#This Row],[Attrition]]="Yes",Table1[[#This Row],[EstReplacementCost]],0)</f>
        <v>0</v>
      </c>
    </row>
    <row r="1137" spans="1:36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56</v>
      </c>
      <c r="P1137">
        <v>1</v>
      </c>
      <c r="Q1137" t="s">
        <v>41</v>
      </c>
      <c r="R1137">
        <v>17567</v>
      </c>
      <c r="S1137">
        <v>3156</v>
      </c>
      <c r="T1137">
        <v>1</v>
      </c>
      <c r="U1137" t="s">
        <v>43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tr">
        <f>IF(Table1[[#This Row],[YearsAtCompany]]&lt;1,"0-1",IF(Table1[[#This Row],[YearsAtCompany]]&lt;=3,"1-3",IF(Table1[[#This Row],[YearsAtCompany]]&lt;=6,"4-6","7+")))</f>
        <v>7+</v>
      </c>
      <c r="AH1137">
        <f>Table1[[#This Row],[MonthlyIncome]]*12*0.75</f>
        <v>158103</v>
      </c>
      <c r="AI11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37">
        <f>IF(Table1[[#This Row],[Attrition]]="Yes",Table1[[#This Row],[EstReplacementCost]],0)</f>
        <v>0</v>
      </c>
    </row>
    <row r="1138" spans="1:36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50</v>
      </c>
      <c r="P1138">
        <v>2</v>
      </c>
      <c r="Q1138" t="s">
        <v>48</v>
      </c>
      <c r="R1138">
        <v>2408</v>
      </c>
      <c r="S1138">
        <v>7324</v>
      </c>
      <c r="T1138">
        <v>1</v>
      </c>
      <c r="U1138" t="s">
        <v>35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tr">
        <f>IF(Table1[[#This Row],[YearsAtCompany]]&lt;1,"0-1",IF(Table1[[#This Row],[YearsAtCompany]]&lt;=3,"1-3",IF(Table1[[#This Row],[YearsAtCompany]]&lt;=6,"4-6","7+")))</f>
        <v>1-3</v>
      </c>
      <c r="AH1138">
        <f>Table1[[#This Row],[MonthlyIncome]]*12*0.75</f>
        <v>21672</v>
      </c>
      <c r="AI11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138">
        <f>IF(Table1[[#This Row],[Attrition]]="Yes",Table1[[#This Row],[EstReplacementCost]],0)</f>
        <v>21672</v>
      </c>
    </row>
    <row r="1139" spans="1:36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47</v>
      </c>
      <c r="P1139">
        <v>3</v>
      </c>
      <c r="Q1139" t="s">
        <v>48</v>
      </c>
      <c r="R1139">
        <v>2814</v>
      </c>
      <c r="S1139">
        <v>10293</v>
      </c>
      <c r="T1139">
        <v>1</v>
      </c>
      <c r="U1139" t="s">
        <v>35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tr">
        <f>IF(Table1[[#This Row],[YearsAtCompany]]&lt;1,"0-1",IF(Table1[[#This Row],[YearsAtCompany]]&lt;=3,"1-3",IF(Table1[[#This Row],[YearsAtCompany]]&lt;=6,"4-6","7+")))</f>
        <v>4-6</v>
      </c>
      <c r="AH1139">
        <f>Table1[[#This Row],[MonthlyIncome]]*12*0.75</f>
        <v>25326</v>
      </c>
      <c r="AI11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39">
        <f>IF(Table1[[#This Row],[Attrition]]="Yes",Table1[[#This Row],[EstReplacementCost]],0)</f>
        <v>0</v>
      </c>
    </row>
    <row r="1140" spans="1:36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54</v>
      </c>
      <c r="P1140">
        <v>3</v>
      </c>
      <c r="Q1140" t="s">
        <v>48</v>
      </c>
      <c r="R1140">
        <v>11245</v>
      </c>
      <c r="S1140">
        <v>20689</v>
      </c>
      <c r="T1140">
        <v>2</v>
      </c>
      <c r="U1140" t="s">
        <v>35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tr">
        <f>IF(Table1[[#This Row],[YearsAtCompany]]&lt;1,"0-1",IF(Table1[[#This Row],[YearsAtCompany]]&lt;=3,"1-3",IF(Table1[[#This Row],[YearsAtCompany]]&lt;=6,"4-6","7+")))</f>
        <v>7+</v>
      </c>
      <c r="AH1140">
        <f>Table1[[#This Row],[MonthlyIncome]]*12*0.75</f>
        <v>101205</v>
      </c>
      <c r="AI11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40">
        <f>IF(Table1[[#This Row],[Attrition]]="Yes",Table1[[#This Row],[EstReplacementCost]],0)</f>
        <v>0</v>
      </c>
    </row>
    <row r="1141" spans="1:36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47</v>
      </c>
      <c r="P1141">
        <v>4</v>
      </c>
      <c r="Q1141" t="s">
        <v>48</v>
      </c>
      <c r="R1141">
        <v>3312</v>
      </c>
      <c r="S1141">
        <v>18783</v>
      </c>
      <c r="T1141">
        <v>3</v>
      </c>
      <c r="U1141" t="s">
        <v>43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tr">
        <f>IF(Table1[[#This Row],[YearsAtCompany]]&lt;1,"0-1",IF(Table1[[#This Row],[YearsAtCompany]]&lt;=3,"1-3",IF(Table1[[#This Row],[YearsAtCompany]]&lt;=6,"4-6","7+")))</f>
        <v>1-3</v>
      </c>
      <c r="AH1141">
        <f>Table1[[#This Row],[MonthlyIncome]]*12*0.75</f>
        <v>29808</v>
      </c>
      <c r="AI11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41">
        <f>IF(Table1[[#This Row],[Attrition]]="Yes",Table1[[#This Row],[EstReplacementCost]],0)</f>
        <v>0</v>
      </c>
    </row>
    <row r="1142" spans="1:36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58</v>
      </c>
      <c r="P1142">
        <v>4</v>
      </c>
      <c r="Q1142" t="s">
        <v>52</v>
      </c>
      <c r="R1142">
        <v>19049</v>
      </c>
      <c r="S1142">
        <v>3549</v>
      </c>
      <c r="T1142">
        <v>0</v>
      </c>
      <c r="U1142" t="s">
        <v>35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tr">
        <f>IF(Table1[[#This Row],[YearsAtCompany]]&lt;1,"0-1",IF(Table1[[#This Row],[YearsAtCompany]]&lt;=3,"1-3",IF(Table1[[#This Row],[YearsAtCompany]]&lt;=6,"4-6","7+")))</f>
        <v>7+</v>
      </c>
      <c r="AH1142">
        <f>Table1[[#This Row],[MonthlyIncome]]*12*0.75</f>
        <v>171441</v>
      </c>
      <c r="AI11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42">
        <f>IF(Table1[[#This Row],[Attrition]]="Yes",Table1[[#This Row],[EstReplacementCost]],0)</f>
        <v>0</v>
      </c>
    </row>
    <row r="1143" spans="1:36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47</v>
      </c>
      <c r="P1143">
        <v>2</v>
      </c>
      <c r="Q1143" t="s">
        <v>48</v>
      </c>
      <c r="R1143">
        <v>2141</v>
      </c>
      <c r="S1143">
        <v>5348</v>
      </c>
      <c r="T1143">
        <v>1</v>
      </c>
      <c r="U1143" t="s">
        <v>43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tr">
        <f>IF(Table1[[#This Row],[YearsAtCompany]]&lt;1,"0-1",IF(Table1[[#This Row],[YearsAtCompany]]&lt;=3,"1-3",IF(Table1[[#This Row],[YearsAtCompany]]&lt;=6,"4-6","7+")))</f>
        <v>4-6</v>
      </c>
      <c r="AH1143">
        <f>Table1[[#This Row],[MonthlyIncome]]*12*0.75</f>
        <v>19269</v>
      </c>
      <c r="AI11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43">
        <f>IF(Table1[[#This Row],[Attrition]]="Yes",Table1[[#This Row],[EstReplacementCost]],0)</f>
        <v>0</v>
      </c>
    </row>
    <row r="1144" spans="1:36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50</v>
      </c>
      <c r="P1144">
        <v>1</v>
      </c>
      <c r="Q1144" t="s">
        <v>41</v>
      </c>
      <c r="R1144">
        <v>5769</v>
      </c>
      <c r="S1144">
        <v>23447</v>
      </c>
      <c r="T1144">
        <v>1</v>
      </c>
      <c r="U1144" t="s">
        <v>35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tr">
        <f>IF(Table1[[#This Row],[YearsAtCompany]]&lt;1,"0-1",IF(Table1[[#This Row],[YearsAtCompany]]&lt;=3,"1-3",IF(Table1[[#This Row],[YearsAtCompany]]&lt;=6,"4-6","7+")))</f>
        <v>7+</v>
      </c>
      <c r="AH1144">
        <f>Table1[[#This Row],[MonthlyIncome]]*12*0.75</f>
        <v>51921</v>
      </c>
      <c r="AI11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44">
        <f>IF(Table1[[#This Row],[Attrition]]="Yes",Table1[[#This Row],[EstReplacementCost]],0)</f>
        <v>0</v>
      </c>
    </row>
    <row r="1145" spans="1:36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48</v>
      </c>
      <c r="R1145">
        <v>4385</v>
      </c>
      <c r="S1145">
        <v>24162</v>
      </c>
      <c r="T1145">
        <v>1</v>
      </c>
      <c r="U1145" t="s">
        <v>43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tr">
        <f>IF(Table1[[#This Row],[YearsAtCompany]]&lt;1,"0-1",IF(Table1[[#This Row],[YearsAtCompany]]&lt;=3,"1-3",IF(Table1[[#This Row],[YearsAtCompany]]&lt;=6,"4-6","7+")))</f>
        <v>7+</v>
      </c>
      <c r="AH1145">
        <f>Table1[[#This Row],[MonthlyIncome]]*12*0.75</f>
        <v>39465</v>
      </c>
      <c r="AI11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45">
        <f>IF(Table1[[#This Row],[Attrition]]="Yes",Table1[[#This Row],[EstReplacementCost]],0)</f>
        <v>0</v>
      </c>
    </row>
    <row r="1146" spans="1:36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>
        <v>5332</v>
      </c>
      <c r="S1146">
        <v>21602</v>
      </c>
      <c r="T1146">
        <v>7</v>
      </c>
      <c r="U1146" t="s">
        <v>43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tr">
        <f>IF(Table1[[#This Row],[YearsAtCompany]]&lt;1,"0-1",IF(Table1[[#This Row],[YearsAtCompany]]&lt;=3,"1-3",IF(Table1[[#This Row],[YearsAtCompany]]&lt;=6,"4-6","7+")))</f>
        <v>4-6</v>
      </c>
      <c r="AH1146">
        <f>Table1[[#This Row],[MonthlyIncome]]*12*0.75</f>
        <v>47988</v>
      </c>
      <c r="AI11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46">
        <f>IF(Table1[[#This Row],[Attrition]]="Yes",Table1[[#This Row],[EstReplacementCost]],0)</f>
        <v>0</v>
      </c>
    </row>
    <row r="1147" spans="1:36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53</v>
      </c>
      <c r="P1147">
        <v>3</v>
      </c>
      <c r="Q1147" t="s">
        <v>48</v>
      </c>
      <c r="R1147">
        <v>4663</v>
      </c>
      <c r="S1147">
        <v>12421</v>
      </c>
      <c r="T1147">
        <v>9</v>
      </c>
      <c r="U1147" t="s">
        <v>35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tr">
        <f>IF(Table1[[#This Row],[YearsAtCompany]]&lt;1,"0-1",IF(Table1[[#This Row],[YearsAtCompany]]&lt;=3,"1-3",IF(Table1[[#This Row],[YearsAtCompany]]&lt;=6,"4-6","7+")))</f>
        <v>1-3</v>
      </c>
      <c r="AH1147">
        <f>Table1[[#This Row],[MonthlyIncome]]*12*0.75</f>
        <v>41967</v>
      </c>
      <c r="AI11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47">
        <f>IF(Table1[[#This Row],[Attrition]]="Yes",Table1[[#This Row],[EstReplacementCost]],0)</f>
        <v>0</v>
      </c>
    </row>
    <row r="1148" spans="1:36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53</v>
      </c>
      <c r="P1148">
        <v>4</v>
      </c>
      <c r="Q1148" t="s">
        <v>52</v>
      </c>
      <c r="R1148">
        <v>4724</v>
      </c>
      <c r="S1148">
        <v>17000</v>
      </c>
      <c r="T1148">
        <v>1</v>
      </c>
      <c r="U1148" t="s">
        <v>43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tr">
        <f>IF(Table1[[#This Row],[YearsAtCompany]]&lt;1,"0-1",IF(Table1[[#This Row],[YearsAtCompany]]&lt;=3,"1-3",IF(Table1[[#This Row],[YearsAtCompany]]&lt;=6,"4-6","7+")))</f>
        <v>7+</v>
      </c>
      <c r="AH1148">
        <f>Table1[[#This Row],[MonthlyIncome]]*12*0.75</f>
        <v>42516</v>
      </c>
      <c r="AI11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48">
        <f>IF(Table1[[#This Row],[Attrition]]="Yes",Table1[[#This Row],[EstReplacementCost]],0)</f>
        <v>0</v>
      </c>
    </row>
    <row r="1149" spans="1:36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50</v>
      </c>
      <c r="P1149">
        <v>1</v>
      </c>
      <c r="Q1149" t="s">
        <v>48</v>
      </c>
      <c r="R1149">
        <v>3211</v>
      </c>
      <c r="S1149">
        <v>22102</v>
      </c>
      <c r="T1149">
        <v>1</v>
      </c>
      <c r="U1149" t="s">
        <v>43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tr">
        <f>IF(Table1[[#This Row],[YearsAtCompany]]&lt;1,"0-1",IF(Table1[[#This Row],[YearsAtCompany]]&lt;=3,"1-3",IF(Table1[[#This Row],[YearsAtCompany]]&lt;=6,"4-6","7+")))</f>
        <v>7+</v>
      </c>
      <c r="AH1149">
        <f>Table1[[#This Row],[MonthlyIncome]]*12*0.75</f>
        <v>28899</v>
      </c>
      <c r="AI11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49">
        <f>IF(Table1[[#This Row],[Attrition]]="Yes",Table1[[#This Row],[EstReplacementCost]],0)</f>
        <v>0</v>
      </c>
    </row>
    <row r="1150" spans="1:36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53</v>
      </c>
      <c r="P1150">
        <v>1</v>
      </c>
      <c r="Q1150" t="s">
        <v>48</v>
      </c>
      <c r="R1150">
        <v>5377</v>
      </c>
      <c r="S1150">
        <v>3835</v>
      </c>
      <c r="T1150">
        <v>2</v>
      </c>
      <c r="U1150" t="s">
        <v>43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tr">
        <f>IF(Table1[[#This Row],[YearsAtCompany]]&lt;1,"0-1",IF(Table1[[#This Row],[YearsAtCompany]]&lt;=3,"1-3",IF(Table1[[#This Row],[YearsAtCompany]]&lt;=6,"4-6","7+")))</f>
        <v>7+</v>
      </c>
      <c r="AH1150">
        <f>Table1[[#This Row],[MonthlyIncome]]*12*0.75</f>
        <v>48393</v>
      </c>
      <c r="AI11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50">
        <f>IF(Table1[[#This Row],[Attrition]]="Yes",Table1[[#This Row],[EstReplacementCost]],0)</f>
        <v>0</v>
      </c>
    </row>
    <row r="1151" spans="1:36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50</v>
      </c>
      <c r="P1151">
        <v>1</v>
      </c>
      <c r="Q1151" t="s">
        <v>52</v>
      </c>
      <c r="R1151">
        <v>4066</v>
      </c>
      <c r="S1151">
        <v>16290</v>
      </c>
      <c r="T1151">
        <v>1</v>
      </c>
      <c r="U1151" t="s">
        <v>43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tr">
        <f>IF(Table1[[#This Row],[YearsAtCompany]]&lt;1,"0-1",IF(Table1[[#This Row],[YearsAtCompany]]&lt;=3,"1-3",IF(Table1[[#This Row],[YearsAtCompany]]&lt;=6,"4-6","7+")))</f>
        <v>7+</v>
      </c>
      <c r="AH1151">
        <f>Table1[[#This Row],[MonthlyIncome]]*12*0.75</f>
        <v>36594</v>
      </c>
      <c r="AI11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51">
        <f>IF(Table1[[#This Row],[Attrition]]="Yes",Table1[[#This Row],[EstReplacementCost]],0)</f>
        <v>0</v>
      </c>
    </row>
    <row r="1152" spans="1:36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47</v>
      </c>
      <c r="P1152">
        <v>1</v>
      </c>
      <c r="Q1152" t="s">
        <v>48</v>
      </c>
      <c r="R1152">
        <v>5208</v>
      </c>
      <c r="S1152">
        <v>26312</v>
      </c>
      <c r="T1152">
        <v>1</v>
      </c>
      <c r="U1152" t="s">
        <v>43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tr">
        <f>IF(Table1[[#This Row],[YearsAtCompany]]&lt;1,"0-1",IF(Table1[[#This Row],[YearsAtCompany]]&lt;=3,"1-3",IF(Table1[[#This Row],[YearsAtCompany]]&lt;=6,"4-6","7+")))</f>
        <v>7+</v>
      </c>
      <c r="AH1152">
        <f>Table1[[#This Row],[MonthlyIncome]]*12*0.75</f>
        <v>46872</v>
      </c>
      <c r="AI11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52">
        <f>IF(Table1[[#This Row],[Attrition]]="Yes",Table1[[#This Row],[EstReplacementCost]],0)</f>
        <v>0</v>
      </c>
    </row>
    <row r="1153" spans="1:36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53</v>
      </c>
      <c r="P1153">
        <v>1</v>
      </c>
      <c r="Q1153" t="s">
        <v>52</v>
      </c>
      <c r="R1153">
        <v>4877</v>
      </c>
      <c r="S1153">
        <v>20460</v>
      </c>
      <c r="T1153">
        <v>0</v>
      </c>
      <c r="U1153" t="s">
        <v>43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tr">
        <f>IF(Table1[[#This Row],[YearsAtCompany]]&lt;1,"0-1",IF(Table1[[#This Row],[YearsAtCompany]]&lt;=3,"1-3",IF(Table1[[#This Row],[YearsAtCompany]]&lt;=6,"4-6","7+")))</f>
        <v>4-6</v>
      </c>
      <c r="AH1153">
        <f>Table1[[#This Row],[MonthlyIncome]]*12*0.75</f>
        <v>43893</v>
      </c>
      <c r="AI11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53">
        <f>IF(Table1[[#This Row],[Attrition]]="Yes",Table1[[#This Row],[EstReplacementCost]],0)</f>
        <v>0</v>
      </c>
    </row>
    <row r="1154" spans="1:36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47</v>
      </c>
      <c r="P1154">
        <v>4</v>
      </c>
      <c r="Q1154" t="s">
        <v>41</v>
      </c>
      <c r="R1154">
        <v>3117</v>
      </c>
      <c r="S1154">
        <v>26009</v>
      </c>
      <c r="T1154">
        <v>1</v>
      </c>
      <c r="U1154" t="s">
        <v>43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tr">
        <f>IF(Table1[[#This Row],[YearsAtCompany]]&lt;1,"0-1",IF(Table1[[#This Row],[YearsAtCompany]]&lt;=3,"1-3",IF(Table1[[#This Row],[YearsAtCompany]]&lt;=6,"4-6","7+")))</f>
        <v>1-3</v>
      </c>
      <c r="AH1154">
        <f>Table1[[#This Row],[MonthlyIncome]]*12*0.75</f>
        <v>28053</v>
      </c>
      <c r="AI11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54">
        <f>IF(Table1[[#This Row],[Attrition]]="Yes",Table1[[#This Row],[EstReplacementCost]],0)</f>
        <v>0</v>
      </c>
    </row>
    <row r="1155" spans="1:36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57</v>
      </c>
      <c r="P1155">
        <v>4</v>
      </c>
      <c r="Q1155" t="s">
        <v>41</v>
      </c>
      <c r="R1155">
        <v>1569</v>
      </c>
      <c r="S1155">
        <v>18420</v>
      </c>
      <c r="T1155">
        <v>1</v>
      </c>
      <c r="U1155" t="s">
        <v>35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tr">
        <f>IF(Table1[[#This Row],[YearsAtCompany]]&lt;1,"0-1",IF(Table1[[#This Row],[YearsAtCompany]]&lt;=3,"1-3",IF(Table1[[#This Row],[YearsAtCompany]]&lt;=6,"4-6","7+")))</f>
        <v>0-1</v>
      </c>
      <c r="AH1155">
        <f>Table1[[#This Row],[MonthlyIncome]]*12*0.75</f>
        <v>14121</v>
      </c>
      <c r="AI11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55">
        <f>IF(Table1[[#This Row],[Attrition]]="Yes",Table1[[#This Row],[EstReplacementCost]],0)</f>
        <v>14121</v>
      </c>
    </row>
    <row r="1156" spans="1:36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56</v>
      </c>
      <c r="P1156">
        <v>3</v>
      </c>
      <c r="Q1156" t="s">
        <v>48</v>
      </c>
      <c r="R1156">
        <v>19658</v>
      </c>
      <c r="S1156">
        <v>5220</v>
      </c>
      <c r="T1156">
        <v>3</v>
      </c>
      <c r="U1156" t="s">
        <v>43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tr">
        <f>IF(Table1[[#This Row],[YearsAtCompany]]&lt;1,"0-1",IF(Table1[[#This Row],[YearsAtCompany]]&lt;=3,"1-3",IF(Table1[[#This Row],[YearsAtCompany]]&lt;=6,"4-6","7+")))</f>
        <v>4-6</v>
      </c>
      <c r="AH1156">
        <f>Table1[[#This Row],[MonthlyIncome]]*12*0.75</f>
        <v>176922</v>
      </c>
      <c r="AI11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56">
        <f>IF(Table1[[#This Row],[Attrition]]="Yes",Table1[[#This Row],[EstReplacementCost]],0)</f>
        <v>0</v>
      </c>
    </row>
    <row r="1157" spans="1:36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50</v>
      </c>
      <c r="P1157">
        <v>3</v>
      </c>
      <c r="Q1157" t="s">
        <v>52</v>
      </c>
      <c r="R1157">
        <v>3069</v>
      </c>
      <c r="S1157">
        <v>10302</v>
      </c>
      <c r="T1157">
        <v>0</v>
      </c>
      <c r="U1157" t="s">
        <v>43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tr">
        <f>IF(Table1[[#This Row],[YearsAtCompany]]&lt;1,"0-1",IF(Table1[[#This Row],[YearsAtCompany]]&lt;=3,"1-3",IF(Table1[[#This Row],[YearsAtCompany]]&lt;=6,"4-6","7+")))</f>
        <v>7+</v>
      </c>
      <c r="AH1157">
        <f>Table1[[#This Row],[MonthlyIncome]]*12*0.75</f>
        <v>27621</v>
      </c>
      <c r="AI11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57">
        <f>IF(Table1[[#This Row],[Attrition]]="Yes",Table1[[#This Row],[EstReplacementCost]],0)</f>
        <v>0</v>
      </c>
    </row>
    <row r="1158" spans="1:36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53</v>
      </c>
      <c r="P1158">
        <v>3</v>
      </c>
      <c r="Q1158" t="s">
        <v>48</v>
      </c>
      <c r="R1158">
        <v>10435</v>
      </c>
      <c r="S1158">
        <v>25800</v>
      </c>
      <c r="T1158">
        <v>1</v>
      </c>
      <c r="U1158" t="s">
        <v>43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tr">
        <f>IF(Table1[[#This Row],[YearsAtCompany]]&lt;1,"0-1",IF(Table1[[#This Row],[YearsAtCompany]]&lt;=3,"1-3",IF(Table1[[#This Row],[YearsAtCompany]]&lt;=6,"4-6","7+")))</f>
        <v>7+</v>
      </c>
      <c r="AH1158">
        <f>Table1[[#This Row],[MonthlyIncome]]*12*0.75</f>
        <v>93915</v>
      </c>
      <c r="AI11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58">
        <f>IF(Table1[[#This Row],[Attrition]]="Yes",Table1[[#This Row],[EstReplacementCost]],0)</f>
        <v>0</v>
      </c>
    </row>
    <row r="1159" spans="1:36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54</v>
      </c>
      <c r="P1159">
        <v>3</v>
      </c>
      <c r="Q1159" t="s">
        <v>48</v>
      </c>
      <c r="R1159">
        <v>4148</v>
      </c>
      <c r="S1159">
        <v>12250</v>
      </c>
      <c r="T1159">
        <v>1</v>
      </c>
      <c r="U1159" t="s">
        <v>43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tr">
        <f>IF(Table1[[#This Row],[YearsAtCompany]]&lt;1,"0-1",IF(Table1[[#This Row],[YearsAtCompany]]&lt;=3,"1-3",IF(Table1[[#This Row],[YearsAtCompany]]&lt;=6,"4-6","7+")))</f>
        <v>7+</v>
      </c>
      <c r="AH1159">
        <f>Table1[[#This Row],[MonthlyIncome]]*12*0.75</f>
        <v>37332</v>
      </c>
      <c r="AI11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59">
        <f>IF(Table1[[#This Row],[Attrition]]="Yes",Table1[[#This Row],[EstReplacementCost]],0)</f>
        <v>0</v>
      </c>
    </row>
    <row r="1160" spans="1:36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53</v>
      </c>
      <c r="P1160">
        <v>3</v>
      </c>
      <c r="Q1160" t="s">
        <v>48</v>
      </c>
      <c r="R1160">
        <v>5768</v>
      </c>
      <c r="S1160">
        <v>26493</v>
      </c>
      <c r="T1160">
        <v>3</v>
      </c>
      <c r="U1160" t="s">
        <v>43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tr">
        <f>IF(Table1[[#This Row],[YearsAtCompany]]&lt;1,"0-1",IF(Table1[[#This Row],[YearsAtCompany]]&lt;=3,"1-3",IF(Table1[[#This Row],[YearsAtCompany]]&lt;=6,"4-6","7+")))</f>
        <v>4-6</v>
      </c>
      <c r="AH1160">
        <f>Table1[[#This Row],[MonthlyIncome]]*12*0.75</f>
        <v>51912</v>
      </c>
      <c r="AI11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60">
        <f>IF(Table1[[#This Row],[Attrition]]="Yes",Table1[[#This Row],[EstReplacementCost]],0)</f>
        <v>0</v>
      </c>
    </row>
    <row r="1161" spans="1:36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53</v>
      </c>
      <c r="P1161">
        <v>3</v>
      </c>
      <c r="Q1161" t="s">
        <v>41</v>
      </c>
      <c r="R1161">
        <v>5042</v>
      </c>
      <c r="S1161">
        <v>3140</v>
      </c>
      <c r="T1161">
        <v>0</v>
      </c>
      <c r="U1161" t="s">
        <v>43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tr">
        <f>IF(Table1[[#This Row],[YearsAtCompany]]&lt;1,"0-1",IF(Table1[[#This Row],[YearsAtCompany]]&lt;=3,"1-3",IF(Table1[[#This Row],[YearsAtCompany]]&lt;=6,"4-6","7+")))</f>
        <v>7+</v>
      </c>
      <c r="AH1161">
        <f>Table1[[#This Row],[MonthlyIncome]]*12*0.75</f>
        <v>45378</v>
      </c>
      <c r="AI11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61">
        <f>IF(Table1[[#This Row],[Attrition]]="Yes",Table1[[#This Row],[EstReplacementCost]],0)</f>
        <v>0</v>
      </c>
    </row>
    <row r="1162" spans="1:36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53</v>
      </c>
      <c r="P1162">
        <v>4</v>
      </c>
      <c r="Q1162" t="s">
        <v>52</v>
      </c>
      <c r="R1162">
        <v>5770</v>
      </c>
      <c r="S1162">
        <v>5388</v>
      </c>
      <c r="T1162">
        <v>1</v>
      </c>
      <c r="U1162" t="s">
        <v>43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tr">
        <f>IF(Table1[[#This Row],[YearsAtCompany]]&lt;1,"0-1",IF(Table1[[#This Row],[YearsAtCompany]]&lt;=3,"1-3",IF(Table1[[#This Row],[YearsAtCompany]]&lt;=6,"4-6","7+")))</f>
        <v>7+</v>
      </c>
      <c r="AH1162">
        <f>Table1[[#This Row],[MonthlyIncome]]*12*0.75</f>
        <v>51930</v>
      </c>
      <c r="AI11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62">
        <f>IF(Table1[[#This Row],[Attrition]]="Yes",Table1[[#This Row],[EstReplacementCost]],0)</f>
        <v>0</v>
      </c>
    </row>
    <row r="1163" spans="1:36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53</v>
      </c>
      <c r="P1163">
        <v>3</v>
      </c>
      <c r="Q1163" t="s">
        <v>48</v>
      </c>
      <c r="R1163">
        <v>7756</v>
      </c>
      <c r="S1163">
        <v>14199</v>
      </c>
      <c r="T1163">
        <v>3</v>
      </c>
      <c r="U1163" t="s">
        <v>35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tr">
        <f>IF(Table1[[#This Row],[YearsAtCompany]]&lt;1,"0-1",IF(Table1[[#This Row],[YearsAtCompany]]&lt;=3,"1-3",IF(Table1[[#This Row],[YearsAtCompany]]&lt;=6,"4-6","7+")))</f>
        <v>4-6</v>
      </c>
      <c r="AH1163">
        <f>Table1[[#This Row],[MonthlyIncome]]*12*0.75</f>
        <v>69804</v>
      </c>
      <c r="AI11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63">
        <f>IF(Table1[[#This Row],[Attrition]]="Yes",Table1[[#This Row],[EstReplacementCost]],0)</f>
        <v>0</v>
      </c>
    </row>
    <row r="1164" spans="1:36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48</v>
      </c>
      <c r="R1164">
        <v>10306</v>
      </c>
      <c r="S1164">
        <v>21530</v>
      </c>
      <c r="T1164">
        <v>9</v>
      </c>
      <c r="U1164" t="s">
        <v>43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tr">
        <f>IF(Table1[[#This Row],[YearsAtCompany]]&lt;1,"0-1",IF(Table1[[#This Row],[YearsAtCompany]]&lt;=3,"1-3",IF(Table1[[#This Row],[YearsAtCompany]]&lt;=6,"4-6","7+")))</f>
        <v>7+</v>
      </c>
      <c r="AH1164">
        <f>Table1[[#This Row],[MonthlyIncome]]*12*0.75</f>
        <v>92754</v>
      </c>
      <c r="AI11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64">
        <f>IF(Table1[[#This Row],[Attrition]]="Yes",Table1[[#This Row],[EstReplacementCost]],0)</f>
        <v>92754</v>
      </c>
    </row>
    <row r="1165" spans="1:36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47</v>
      </c>
      <c r="P1165">
        <v>2</v>
      </c>
      <c r="Q1165" t="s">
        <v>48</v>
      </c>
      <c r="R1165">
        <v>3936</v>
      </c>
      <c r="S1165">
        <v>9953</v>
      </c>
      <c r="T1165">
        <v>1</v>
      </c>
      <c r="U1165" t="s">
        <v>43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tr">
        <f>IF(Table1[[#This Row],[YearsAtCompany]]&lt;1,"0-1",IF(Table1[[#This Row],[YearsAtCompany]]&lt;=3,"1-3",IF(Table1[[#This Row],[YearsAtCompany]]&lt;=6,"4-6","7+")))</f>
        <v>7+</v>
      </c>
      <c r="AH1165">
        <f>Table1[[#This Row],[MonthlyIncome]]*12*0.75</f>
        <v>35424</v>
      </c>
      <c r="AI11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65">
        <f>IF(Table1[[#This Row],[Attrition]]="Yes",Table1[[#This Row],[EstReplacementCost]],0)</f>
        <v>0</v>
      </c>
    </row>
    <row r="1166" spans="1:36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53</v>
      </c>
      <c r="P1166">
        <v>4</v>
      </c>
      <c r="Q1166" t="s">
        <v>41</v>
      </c>
      <c r="R1166">
        <v>7945</v>
      </c>
      <c r="S1166">
        <v>19948</v>
      </c>
      <c r="T1166">
        <v>6</v>
      </c>
      <c r="U1166" t="s">
        <v>35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tr">
        <f>IF(Table1[[#This Row],[YearsAtCompany]]&lt;1,"0-1",IF(Table1[[#This Row],[YearsAtCompany]]&lt;=3,"1-3",IF(Table1[[#This Row],[YearsAtCompany]]&lt;=6,"4-6","7+")))</f>
        <v>4-6</v>
      </c>
      <c r="AH1166">
        <f>Table1[[#This Row],[MonthlyIncome]]*12*0.75</f>
        <v>71505</v>
      </c>
      <c r="AI11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66">
        <f>IF(Table1[[#This Row],[Attrition]]="Yes",Table1[[#This Row],[EstReplacementCost]],0)</f>
        <v>0</v>
      </c>
    </row>
    <row r="1167" spans="1:36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61</v>
      </c>
      <c r="P1167">
        <v>4</v>
      </c>
      <c r="Q1167" t="s">
        <v>48</v>
      </c>
      <c r="R1167">
        <v>5743</v>
      </c>
      <c r="S1167">
        <v>10503</v>
      </c>
      <c r="T1167">
        <v>4</v>
      </c>
      <c r="U1167" t="s">
        <v>35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tr">
        <f>IF(Table1[[#This Row],[YearsAtCompany]]&lt;1,"0-1",IF(Table1[[#This Row],[YearsAtCompany]]&lt;=3,"1-3",IF(Table1[[#This Row],[YearsAtCompany]]&lt;=6,"4-6","7+")))</f>
        <v>7+</v>
      </c>
      <c r="AH1167">
        <f>Table1[[#This Row],[MonthlyIncome]]*12*0.75</f>
        <v>51687</v>
      </c>
      <c r="AI11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67">
        <f>IF(Table1[[#This Row],[Attrition]]="Yes",Table1[[#This Row],[EstReplacementCost]],0)</f>
        <v>0</v>
      </c>
    </row>
    <row r="1168" spans="1:36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56</v>
      </c>
      <c r="P1168">
        <v>4</v>
      </c>
      <c r="Q1168" t="s">
        <v>48</v>
      </c>
      <c r="R1168">
        <v>15202</v>
      </c>
      <c r="S1168">
        <v>5602</v>
      </c>
      <c r="T1168">
        <v>2</v>
      </c>
      <c r="U1168" t="s">
        <v>43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tr">
        <f>IF(Table1[[#This Row],[YearsAtCompany]]&lt;1,"0-1",IF(Table1[[#This Row],[YearsAtCompany]]&lt;=3,"1-3",IF(Table1[[#This Row],[YearsAtCompany]]&lt;=6,"4-6","7+")))</f>
        <v>1-3</v>
      </c>
      <c r="AH1168">
        <f>Table1[[#This Row],[MonthlyIncome]]*12*0.75</f>
        <v>136818</v>
      </c>
      <c r="AI11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68">
        <f>IF(Table1[[#This Row],[Attrition]]="Yes",Table1[[#This Row],[EstReplacementCost]],0)</f>
        <v>0</v>
      </c>
    </row>
    <row r="1169" spans="1:36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52</v>
      </c>
      <c r="R1169">
        <v>5440</v>
      </c>
      <c r="S1169">
        <v>22098</v>
      </c>
      <c r="T1169">
        <v>6</v>
      </c>
      <c r="U1169" t="s">
        <v>35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tr">
        <f>IF(Table1[[#This Row],[YearsAtCompany]]&lt;1,"0-1",IF(Table1[[#This Row],[YearsAtCompany]]&lt;=3,"1-3",IF(Table1[[#This Row],[YearsAtCompany]]&lt;=6,"4-6","7+")))</f>
        <v>1-3</v>
      </c>
      <c r="AH1169">
        <f>Table1[[#This Row],[MonthlyIncome]]*12*0.75</f>
        <v>48960</v>
      </c>
      <c r="AI11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69">
        <f>IF(Table1[[#This Row],[Attrition]]="Yes",Table1[[#This Row],[EstReplacementCost]],0)</f>
        <v>48960</v>
      </c>
    </row>
    <row r="1170" spans="1:36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47</v>
      </c>
      <c r="P1170">
        <v>4</v>
      </c>
      <c r="Q1170" t="s">
        <v>41</v>
      </c>
      <c r="R1170">
        <v>3760</v>
      </c>
      <c r="S1170">
        <v>17218</v>
      </c>
      <c r="T1170">
        <v>1</v>
      </c>
      <c r="U1170" t="s">
        <v>35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tr">
        <f>IF(Table1[[#This Row],[YearsAtCompany]]&lt;1,"0-1",IF(Table1[[#This Row],[YearsAtCompany]]&lt;=3,"1-3",IF(Table1[[#This Row],[YearsAtCompany]]&lt;=6,"4-6","7+")))</f>
        <v>4-6</v>
      </c>
      <c r="AH1170">
        <f>Table1[[#This Row],[MonthlyIncome]]*12*0.75</f>
        <v>33840</v>
      </c>
      <c r="AI11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70">
        <f>IF(Table1[[#This Row],[Attrition]]="Yes",Table1[[#This Row],[EstReplacementCost]],0)</f>
        <v>0</v>
      </c>
    </row>
    <row r="1171" spans="1:36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47</v>
      </c>
      <c r="P1171">
        <v>3</v>
      </c>
      <c r="Q1171" t="s">
        <v>48</v>
      </c>
      <c r="R1171">
        <v>3517</v>
      </c>
      <c r="S1171">
        <v>22490</v>
      </c>
      <c r="T1171">
        <v>7</v>
      </c>
      <c r="U1171" t="s">
        <v>43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tr">
        <f>IF(Table1[[#This Row],[YearsAtCompany]]&lt;1,"0-1",IF(Table1[[#This Row],[YearsAtCompany]]&lt;=3,"1-3",IF(Table1[[#This Row],[YearsAtCompany]]&lt;=6,"4-6","7+")))</f>
        <v>1-3</v>
      </c>
      <c r="AH1171">
        <f>Table1[[#This Row],[MonthlyIncome]]*12*0.75</f>
        <v>31653</v>
      </c>
      <c r="AI11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71">
        <f>IF(Table1[[#This Row],[Attrition]]="Yes",Table1[[#This Row],[EstReplacementCost]],0)</f>
        <v>0</v>
      </c>
    </row>
    <row r="1172" spans="1:36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47</v>
      </c>
      <c r="P1172">
        <v>4</v>
      </c>
      <c r="Q1172" t="s">
        <v>41</v>
      </c>
      <c r="R1172">
        <v>2580</v>
      </c>
      <c r="S1172">
        <v>6297</v>
      </c>
      <c r="T1172">
        <v>2</v>
      </c>
      <c r="U1172" t="s">
        <v>43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tr">
        <f>IF(Table1[[#This Row],[YearsAtCompany]]&lt;1,"0-1",IF(Table1[[#This Row],[YearsAtCompany]]&lt;=3,"1-3",IF(Table1[[#This Row],[YearsAtCompany]]&lt;=6,"4-6","7+")))</f>
        <v>4-6</v>
      </c>
      <c r="AH1172">
        <f>Table1[[#This Row],[MonthlyIncome]]*12*0.75</f>
        <v>23220</v>
      </c>
      <c r="AI11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72">
        <f>IF(Table1[[#This Row],[Attrition]]="Yes",Table1[[#This Row],[EstReplacementCost]],0)</f>
        <v>0</v>
      </c>
    </row>
    <row r="1173" spans="1:36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50</v>
      </c>
      <c r="P1173">
        <v>1</v>
      </c>
      <c r="Q1173" t="s">
        <v>41</v>
      </c>
      <c r="R1173">
        <v>2166</v>
      </c>
      <c r="S1173">
        <v>3339</v>
      </c>
      <c r="T1173">
        <v>3</v>
      </c>
      <c r="U1173" t="s">
        <v>35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tr">
        <f>IF(Table1[[#This Row],[YearsAtCompany]]&lt;1,"0-1",IF(Table1[[#This Row],[YearsAtCompany]]&lt;=3,"1-3",IF(Table1[[#This Row],[YearsAtCompany]]&lt;=6,"4-6","7+")))</f>
        <v>4-6</v>
      </c>
      <c r="AH1173">
        <f>Table1[[#This Row],[MonthlyIncome]]*12*0.75</f>
        <v>19494</v>
      </c>
      <c r="AI11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73">
        <f>IF(Table1[[#This Row],[Attrition]]="Yes",Table1[[#This Row],[EstReplacementCost]],0)</f>
        <v>19494</v>
      </c>
    </row>
    <row r="1174" spans="1:36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>
        <v>5869</v>
      </c>
      <c r="S1174">
        <v>23413</v>
      </c>
      <c r="T1174">
        <v>9</v>
      </c>
      <c r="U1174" t="s">
        <v>43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tr">
        <f>IF(Table1[[#This Row],[YearsAtCompany]]&lt;1,"0-1",IF(Table1[[#This Row],[YearsAtCompany]]&lt;=3,"1-3",IF(Table1[[#This Row],[YearsAtCompany]]&lt;=6,"4-6","7+")))</f>
        <v>4-6</v>
      </c>
      <c r="AH1174">
        <f>Table1[[#This Row],[MonthlyIncome]]*12*0.75</f>
        <v>52821</v>
      </c>
      <c r="AI11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74">
        <f>IF(Table1[[#This Row],[Attrition]]="Yes",Table1[[#This Row],[EstReplacementCost]],0)</f>
        <v>0</v>
      </c>
    </row>
    <row r="1175" spans="1:36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54</v>
      </c>
      <c r="P1175">
        <v>1</v>
      </c>
      <c r="Q1175" t="s">
        <v>48</v>
      </c>
      <c r="R1175">
        <v>8008</v>
      </c>
      <c r="S1175">
        <v>22792</v>
      </c>
      <c r="T1175">
        <v>4</v>
      </c>
      <c r="U1175" t="s">
        <v>43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tr">
        <f>IF(Table1[[#This Row],[YearsAtCompany]]&lt;1,"0-1",IF(Table1[[#This Row],[YearsAtCompany]]&lt;=3,"1-3",IF(Table1[[#This Row],[YearsAtCompany]]&lt;=6,"4-6","7+")))</f>
        <v>1-3</v>
      </c>
      <c r="AH1175">
        <f>Table1[[#This Row],[MonthlyIncome]]*12*0.75</f>
        <v>72072</v>
      </c>
      <c r="AI11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75">
        <f>IF(Table1[[#This Row],[Attrition]]="Yes",Table1[[#This Row],[EstReplacementCost]],0)</f>
        <v>0</v>
      </c>
    </row>
    <row r="1176" spans="1:36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53</v>
      </c>
      <c r="P1176">
        <v>3</v>
      </c>
      <c r="Q1176" t="s">
        <v>52</v>
      </c>
      <c r="R1176">
        <v>5206</v>
      </c>
      <c r="S1176">
        <v>4973</v>
      </c>
      <c r="T1176">
        <v>1</v>
      </c>
      <c r="U1176" t="s">
        <v>43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tr">
        <f>IF(Table1[[#This Row],[YearsAtCompany]]&lt;1,"0-1",IF(Table1[[#This Row],[YearsAtCompany]]&lt;=3,"1-3",IF(Table1[[#This Row],[YearsAtCompany]]&lt;=6,"4-6","7+")))</f>
        <v>7+</v>
      </c>
      <c r="AH1176">
        <f>Table1[[#This Row],[MonthlyIncome]]*12*0.75</f>
        <v>46854</v>
      </c>
      <c r="AI11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76">
        <f>IF(Table1[[#This Row],[Attrition]]="Yes",Table1[[#This Row],[EstReplacementCost]],0)</f>
        <v>0</v>
      </c>
    </row>
    <row r="1177" spans="1:36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53</v>
      </c>
      <c r="P1177">
        <v>2</v>
      </c>
      <c r="Q1177" t="s">
        <v>48</v>
      </c>
      <c r="R1177">
        <v>5295</v>
      </c>
      <c r="S1177">
        <v>7693</v>
      </c>
      <c r="T1177">
        <v>4</v>
      </c>
      <c r="U1177" t="s">
        <v>43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tr">
        <f>IF(Table1[[#This Row],[YearsAtCompany]]&lt;1,"0-1",IF(Table1[[#This Row],[YearsAtCompany]]&lt;=3,"1-3",IF(Table1[[#This Row],[YearsAtCompany]]&lt;=6,"4-6","7+")))</f>
        <v>4-6</v>
      </c>
      <c r="AH1177">
        <f>Table1[[#This Row],[MonthlyIncome]]*12*0.75</f>
        <v>47655</v>
      </c>
      <c r="AI11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77">
        <f>IF(Table1[[#This Row],[Attrition]]="Yes",Table1[[#This Row],[EstReplacementCost]],0)</f>
        <v>0</v>
      </c>
    </row>
    <row r="1178" spans="1:36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58</v>
      </c>
      <c r="P1178">
        <v>2</v>
      </c>
      <c r="Q1178" t="s">
        <v>48</v>
      </c>
      <c r="R1178">
        <v>16413</v>
      </c>
      <c r="S1178">
        <v>3498</v>
      </c>
      <c r="T1178">
        <v>3</v>
      </c>
      <c r="U1178" t="s">
        <v>43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tr">
        <f>IF(Table1[[#This Row],[YearsAtCompany]]&lt;1,"0-1",IF(Table1[[#This Row],[YearsAtCompany]]&lt;=3,"1-3",IF(Table1[[#This Row],[YearsAtCompany]]&lt;=6,"4-6","7+")))</f>
        <v>4-6</v>
      </c>
      <c r="AH1178">
        <f>Table1[[#This Row],[MonthlyIncome]]*12*0.75</f>
        <v>147717</v>
      </c>
      <c r="AI11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78">
        <f>IF(Table1[[#This Row],[Attrition]]="Yes",Table1[[#This Row],[EstReplacementCost]],0)</f>
        <v>0</v>
      </c>
    </row>
    <row r="1179" spans="1:36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58</v>
      </c>
      <c r="P1179">
        <v>1</v>
      </c>
      <c r="Q1179" t="s">
        <v>52</v>
      </c>
      <c r="R1179">
        <v>13269</v>
      </c>
      <c r="S1179">
        <v>21981</v>
      </c>
      <c r="T1179">
        <v>5</v>
      </c>
      <c r="U1179" t="s">
        <v>43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tr">
        <f>IF(Table1[[#This Row],[YearsAtCompany]]&lt;1,"0-1",IF(Table1[[#This Row],[YearsAtCompany]]&lt;=3,"1-3",IF(Table1[[#This Row],[YearsAtCompany]]&lt;=6,"4-6","7+")))</f>
        <v>7+</v>
      </c>
      <c r="AH1179">
        <f>Table1[[#This Row],[MonthlyIncome]]*12*0.75</f>
        <v>119421</v>
      </c>
      <c r="AI11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79">
        <f>IF(Table1[[#This Row],[Attrition]]="Yes",Table1[[#This Row],[EstReplacementCost]],0)</f>
        <v>0</v>
      </c>
    </row>
    <row r="1180" spans="1:36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57</v>
      </c>
      <c r="P1180">
        <v>3</v>
      </c>
      <c r="Q1180" t="s">
        <v>41</v>
      </c>
      <c r="R1180">
        <v>2783</v>
      </c>
      <c r="S1180">
        <v>13251</v>
      </c>
      <c r="T1180">
        <v>1</v>
      </c>
      <c r="U1180" t="s">
        <v>43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tr">
        <f>IF(Table1[[#This Row],[YearsAtCompany]]&lt;1,"0-1",IF(Table1[[#This Row],[YearsAtCompany]]&lt;=3,"1-3",IF(Table1[[#This Row],[YearsAtCompany]]&lt;=6,"4-6","7+")))</f>
        <v>1-3</v>
      </c>
      <c r="AH1180">
        <f>Table1[[#This Row],[MonthlyIncome]]*12*0.75</f>
        <v>25047</v>
      </c>
      <c r="AI11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80">
        <f>IF(Table1[[#This Row],[Attrition]]="Yes",Table1[[#This Row],[EstReplacementCost]],0)</f>
        <v>0</v>
      </c>
    </row>
    <row r="1181" spans="1:36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47</v>
      </c>
      <c r="P1181">
        <v>2</v>
      </c>
      <c r="Q1181" t="s">
        <v>52</v>
      </c>
      <c r="R1181">
        <v>5433</v>
      </c>
      <c r="S1181">
        <v>19332</v>
      </c>
      <c r="T1181">
        <v>1</v>
      </c>
      <c r="U1181" t="s">
        <v>43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tr">
        <f>IF(Table1[[#This Row],[YearsAtCompany]]&lt;1,"0-1",IF(Table1[[#This Row],[YearsAtCompany]]&lt;=3,"1-3",IF(Table1[[#This Row],[YearsAtCompany]]&lt;=6,"4-6","7+")))</f>
        <v>7+</v>
      </c>
      <c r="AH1181">
        <f>Table1[[#This Row],[MonthlyIncome]]*12*0.75</f>
        <v>48897</v>
      </c>
      <c r="AI11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81">
        <f>IF(Table1[[#This Row],[Attrition]]="Yes",Table1[[#This Row],[EstReplacementCost]],0)</f>
        <v>0</v>
      </c>
    </row>
    <row r="1182" spans="1:36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50</v>
      </c>
      <c r="P1182">
        <v>2</v>
      </c>
      <c r="Q1182" t="s">
        <v>41</v>
      </c>
      <c r="R1182">
        <v>2013</v>
      </c>
      <c r="S1182">
        <v>10950</v>
      </c>
      <c r="T1182">
        <v>2</v>
      </c>
      <c r="U1182" t="s">
        <v>43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tr">
        <f>IF(Table1[[#This Row],[YearsAtCompany]]&lt;1,"0-1",IF(Table1[[#This Row],[YearsAtCompany]]&lt;=3,"1-3",IF(Table1[[#This Row],[YearsAtCompany]]&lt;=6,"4-6","7+")))</f>
        <v>4-6</v>
      </c>
      <c r="AH1182">
        <f>Table1[[#This Row],[MonthlyIncome]]*12*0.75</f>
        <v>18117</v>
      </c>
      <c r="AI11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82">
        <f>IF(Table1[[#This Row],[Attrition]]="Yes",Table1[[#This Row],[EstReplacementCost]],0)</f>
        <v>0</v>
      </c>
    </row>
    <row r="1183" spans="1:36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54</v>
      </c>
      <c r="P1183">
        <v>3</v>
      </c>
      <c r="Q1183" t="s">
        <v>48</v>
      </c>
      <c r="R1183">
        <v>13966</v>
      </c>
      <c r="S1183">
        <v>11652</v>
      </c>
      <c r="T1183">
        <v>2</v>
      </c>
      <c r="U1183" t="s">
        <v>35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tr">
        <f>IF(Table1[[#This Row],[YearsAtCompany]]&lt;1,"0-1",IF(Table1[[#This Row],[YearsAtCompany]]&lt;=3,"1-3",IF(Table1[[#This Row],[YearsAtCompany]]&lt;=6,"4-6","7+")))</f>
        <v>7+</v>
      </c>
      <c r="AH1183">
        <f>Table1[[#This Row],[MonthlyIncome]]*12*0.75</f>
        <v>125694</v>
      </c>
      <c r="AI11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83">
        <f>IF(Table1[[#This Row],[Attrition]]="Yes",Table1[[#This Row],[EstReplacementCost]],0)</f>
        <v>0</v>
      </c>
    </row>
    <row r="1184" spans="1:36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53</v>
      </c>
      <c r="P1184">
        <v>3</v>
      </c>
      <c r="Q1184" t="s">
        <v>48</v>
      </c>
      <c r="R1184">
        <v>4374</v>
      </c>
      <c r="S1184">
        <v>15411</v>
      </c>
      <c r="T1184">
        <v>0</v>
      </c>
      <c r="U1184" t="s">
        <v>43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tr">
        <f>IF(Table1[[#This Row],[YearsAtCompany]]&lt;1,"0-1",IF(Table1[[#This Row],[YearsAtCompany]]&lt;=3,"1-3",IF(Table1[[#This Row],[YearsAtCompany]]&lt;=6,"4-6","7+")))</f>
        <v>1-3</v>
      </c>
      <c r="AH1184">
        <f>Table1[[#This Row],[MonthlyIncome]]*12*0.75</f>
        <v>39366</v>
      </c>
      <c r="AI11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84">
        <f>IF(Table1[[#This Row],[Attrition]]="Yes",Table1[[#This Row],[EstReplacementCost]],0)</f>
        <v>0</v>
      </c>
    </row>
    <row r="1185" spans="1:36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54</v>
      </c>
      <c r="P1185">
        <v>1</v>
      </c>
      <c r="Q1185" t="s">
        <v>52</v>
      </c>
      <c r="R1185">
        <v>6842</v>
      </c>
      <c r="S1185">
        <v>26308</v>
      </c>
      <c r="T1185">
        <v>6</v>
      </c>
      <c r="U1185" t="s">
        <v>43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tr">
        <f>IF(Table1[[#This Row],[YearsAtCompany]]&lt;1,"0-1",IF(Table1[[#This Row],[YearsAtCompany]]&lt;=3,"1-3",IF(Table1[[#This Row],[YearsAtCompany]]&lt;=6,"4-6","7+")))</f>
        <v>4-6</v>
      </c>
      <c r="AH1185">
        <f>Table1[[#This Row],[MonthlyIncome]]*12*0.75</f>
        <v>61578</v>
      </c>
      <c r="AI11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85">
        <f>IF(Table1[[#This Row],[Attrition]]="Yes",Table1[[#This Row],[EstReplacementCost]],0)</f>
        <v>0</v>
      </c>
    </row>
    <row r="1186" spans="1:36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56</v>
      </c>
      <c r="P1186">
        <v>3</v>
      </c>
      <c r="Q1186" t="s">
        <v>48</v>
      </c>
      <c r="R1186">
        <v>17426</v>
      </c>
      <c r="S1186">
        <v>18685</v>
      </c>
      <c r="T1186">
        <v>3</v>
      </c>
      <c r="U1186" t="s">
        <v>43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tr">
        <f>IF(Table1[[#This Row],[YearsAtCompany]]&lt;1,"0-1",IF(Table1[[#This Row],[YearsAtCompany]]&lt;=3,"1-3",IF(Table1[[#This Row],[YearsAtCompany]]&lt;=6,"4-6","7+")))</f>
        <v>7+</v>
      </c>
      <c r="AH1186">
        <f>Table1[[#This Row],[MonthlyIncome]]*12*0.75</f>
        <v>156834</v>
      </c>
      <c r="AI11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86">
        <f>IF(Table1[[#This Row],[Attrition]]="Yes",Table1[[#This Row],[EstReplacementCost]],0)</f>
        <v>0</v>
      </c>
    </row>
    <row r="1187" spans="1:36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58</v>
      </c>
      <c r="P1187">
        <v>3</v>
      </c>
      <c r="Q1187" t="s">
        <v>48</v>
      </c>
      <c r="R1187">
        <v>17603</v>
      </c>
      <c r="S1187">
        <v>3525</v>
      </c>
      <c r="T1187">
        <v>1</v>
      </c>
      <c r="U1187" t="s">
        <v>43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tr">
        <f>IF(Table1[[#This Row],[YearsAtCompany]]&lt;1,"0-1",IF(Table1[[#This Row],[YearsAtCompany]]&lt;=3,"1-3",IF(Table1[[#This Row],[YearsAtCompany]]&lt;=6,"4-6","7+")))</f>
        <v>7+</v>
      </c>
      <c r="AH1187">
        <f>Table1[[#This Row],[MonthlyIncome]]*12*0.75</f>
        <v>158427</v>
      </c>
      <c r="AI11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87">
        <f>IF(Table1[[#This Row],[Attrition]]="Yes",Table1[[#This Row],[EstReplacementCost]],0)</f>
        <v>0</v>
      </c>
    </row>
    <row r="1188" spans="1:36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>
        <v>4581</v>
      </c>
      <c r="S1188">
        <v>10414</v>
      </c>
      <c r="T1188">
        <v>3</v>
      </c>
      <c r="U1188" t="s">
        <v>35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tr">
        <f>IF(Table1[[#This Row],[YearsAtCompany]]&lt;1,"0-1",IF(Table1[[#This Row],[YearsAtCompany]]&lt;=3,"1-3",IF(Table1[[#This Row],[YearsAtCompany]]&lt;=6,"4-6","7+")))</f>
        <v>7+</v>
      </c>
      <c r="AH1188">
        <f>Table1[[#This Row],[MonthlyIncome]]*12*0.75</f>
        <v>41229</v>
      </c>
      <c r="AI11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88">
        <f>IF(Table1[[#This Row],[Attrition]]="Yes",Table1[[#This Row],[EstReplacementCost]],0)</f>
        <v>41229</v>
      </c>
    </row>
    <row r="1189" spans="1:36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47</v>
      </c>
      <c r="P1189">
        <v>4</v>
      </c>
      <c r="Q1189" t="s">
        <v>48</v>
      </c>
      <c r="R1189">
        <v>4735</v>
      </c>
      <c r="S1189">
        <v>9867</v>
      </c>
      <c r="T1189">
        <v>7</v>
      </c>
      <c r="U1189" t="s">
        <v>43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tr">
        <f>IF(Table1[[#This Row],[YearsAtCompany]]&lt;1,"0-1",IF(Table1[[#This Row],[YearsAtCompany]]&lt;=3,"1-3",IF(Table1[[#This Row],[YearsAtCompany]]&lt;=6,"4-6","7+")))</f>
        <v>7+</v>
      </c>
      <c r="AH1189">
        <f>Table1[[#This Row],[MonthlyIncome]]*12*0.75</f>
        <v>42615</v>
      </c>
      <c r="AI11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89">
        <f>IF(Table1[[#This Row],[Attrition]]="Yes",Table1[[#This Row],[EstReplacementCost]],0)</f>
        <v>0</v>
      </c>
    </row>
    <row r="1190" spans="1:36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52</v>
      </c>
      <c r="R1190">
        <v>4187</v>
      </c>
      <c r="S1190">
        <v>3356</v>
      </c>
      <c r="T1190">
        <v>1</v>
      </c>
      <c r="U1190" t="s">
        <v>35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tr">
        <f>IF(Table1[[#This Row],[YearsAtCompany]]&lt;1,"0-1",IF(Table1[[#This Row],[YearsAtCompany]]&lt;=3,"1-3",IF(Table1[[#This Row],[YearsAtCompany]]&lt;=6,"4-6","7+")))</f>
        <v>7+</v>
      </c>
      <c r="AH1190">
        <f>Table1[[#This Row],[MonthlyIncome]]*12*0.75</f>
        <v>37683</v>
      </c>
      <c r="AI11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90">
        <f>IF(Table1[[#This Row],[Attrition]]="Yes",Table1[[#This Row],[EstReplacementCost]],0)</f>
        <v>0</v>
      </c>
    </row>
    <row r="1191" spans="1:36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52</v>
      </c>
      <c r="R1191">
        <v>5505</v>
      </c>
      <c r="S1191">
        <v>3921</v>
      </c>
      <c r="T1191">
        <v>1</v>
      </c>
      <c r="U1191" t="s">
        <v>43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tr">
        <f>IF(Table1[[#This Row],[YearsAtCompany]]&lt;1,"0-1",IF(Table1[[#This Row],[YearsAtCompany]]&lt;=3,"1-3",IF(Table1[[#This Row],[YearsAtCompany]]&lt;=6,"4-6","7+")))</f>
        <v>4-6</v>
      </c>
      <c r="AH1191">
        <f>Table1[[#This Row],[MonthlyIncome]]*12*0.75</f>
        <v>49545</v>
      </c>
      <c r="AI11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91">
        <f>IF(Table1[[#This Row],[Attrition]]="Yes",Table1[[#This Row],[EstReplacementCost]],0)</f>
        <v>0</v>
      </c>
    </row>
    <row r="1192" spans="1:36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47</v>
      </c>
      <c r="P1192">
        <v>2</v>
      </c>
      <c r="Q1192" t="s">
        <v>52</v>
      </c>
      <c r="R1192">
        <v>5470</v>
      </c>
      <c r="S1192">
        <v>25518</v>
      </c>
      <c r="T1192">
        <v>0</v>
      </c>
      <c r="U1192" t="s">
        <v>43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tr">
        <f>IF(Table1[[#This Row],[YearsAtCompany]]&lt;1,"0-1",IF(Table1[[#This Row],[YearsAtCompany]]&lt;=3,"1-3",IF(Table1[[#This Row],[YearsAtCompany]]&lt;=6,"4-6","7+")))</f>
        <v>7+</v>
      </c>
      <c r="AH1192">
        <f>Table1[[#This Row],[MonthlyIncome]]*12*0.75</f>
        <v>49230</v>
      </c>
      <c r="AI11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92">
        <f>IF(Table1[[#This Row],[Attrition]]="Yes",Table1[[#This Row],[EstReplacementCost]],0)</f>
        <v>0</v>
      </c>
    </row>
    <row r="1193" spans="1:36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48</v>
      </c>
      <c r="R1193">
        <v>5476</v>
      </c>
      <c r="S1193">
        <v>22589</v>
      </c>
      <c r="T1193">
        <v>1</v>
      </c>
      <c r="U1193" t="s">
        <v>43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tr">
        <f>IF(Table1[[#This Row],[YearsAtCompany]]&lt;1,"0-1",IF(Table1[[#This Row],[YearsAtCompany]]&lt;=3,"1-3",IF(Table1[[#This Row],[YearsAtCompany]]&lt;=6,"4-6","7+")))</f>
        <v>7+</v>
      </c>
      <c r="AH1193">
        <f>Table1[[#This Row],[MonthlyIncome]]*12*0.75</f>
        <v>49284</v>
      </c>
      <c r="AI11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93">
        <f>IF(Table1[[#This Row],[Attrition]]="Yes",Table1[[#This Row],[EstReplacementCost]],0)</f>
        <v>0</v>
      </c>
    </row>
    <row r="1194" spans="1:36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50</v>
      </c>
      <c r="P1194">
        <v>1</v>
      </c>
      <c r="Q1194" t="s">
        <v>52</v>
      </c>
      <c r="R1194">
        <v>2587</v>
      </c>
      <c r="S1194">
        <v>24941</v>
      </c>
      <c r="T1194">
        <v>4</v>
      </c>
      <c r="U1194" t="s">
        <v>35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tr">
        <f>IF(Table1[[#This Row],[YearsAtCompany]]&lt;1,"0-1",IF(Table1[[#This Row],[YearsAtCompany]]&lt;=3,"1-3",IF(Table1[[#This Row],[YearsAtCompany]]&lt;=6,"4-6","7+")))</f>
        <v>1-3</v>
      </c>
      <c r="AH1194">
        <f>Table1[[#This Row],[MonthlyIncome]]*12*0.75</f>
        <v>23283</v>
      </c>
      <c r="AI11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194">
        <f>IF(Table1[[#This Row],[Attrition]]="Yes",Table1[[#This Row],[EstReplacementCost]],0)</f>
        <v>0</v>
      </c>
    </row>
    <row r="1195" spans="1:36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50</v>
      </c>
      <c r="P1195">
        <v>2</v>
      </c>
      <c r="Q1195" t="s">
        <v>41</v>
      </c>
      <c r="R1195">
        <v>2440</v>
      </c>
      <c r="S1195">
        <v>23826</v>
      </c>
      <c r="T1195">
        <v>1</v>
      </c>
      <c r="U1195" t="s">
        <v>43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tr">
        <f>IF(Table1[[#This Row],[YearsAtCompany]]&lt;1,"0-1",IF(Table1[[#This Row],[YearsAtCompany]]&lt;=3,"1-3",IF(Table1[[#This Row],[YearsAtCompany]]&lt;=6,"4-6","7+")))</f>
        <v>4-6</v>
      </c>
      <c r="AH1195">
        <f>Table1[[#This Row],[MonthlyIncome]]*12*0.75</f>
        <v>21960</v>
      </c>
      <c r="AI11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95">
        <f>IF(Table1[[#This Row],[Attrition]]="Yes",Table1[[#This Row],[EstReplacementCost]],0)</f>
        <v>0</v>
      </c>
    </row>
    <row r="1196" spans="1:36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56</v>
      </c>
      <c r="P1196">
        <v>2</v>
      </c>
      <c r="Q1196" t="s">
        <v>52</v>
      </c>
      <c r="R1196">
        <v>15972</v>
      </c>
      <c r="S1196">
        <v>21086</v>
      </c>
      <c r="T1196">
        <v>6</v>
      </c>
      <c r="U1196" t="s">
        <v>43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tr">
        <f>IF(Table1[[#This Row],[YearsAtCompany]]&lt;1,"0-1",IF(Table1[[#This Row],[YearsAtCompany]]&lt;=3,"1-3",IF(Table1[[#This Row],[YearsAtCompany]]&lt;=6,"4-6","7+")))</f>
        <v>1-3</v>
      </c>
      <c r="AH1196">
        <f>Table1[[#This Row],[MonthlyIncome]]*12*0.75</f>
        <v>143748</v>
      </c>
      <c r="AI11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96">
        <f>IF(Table1[[#This Row],[Attrition]]="Yes",Table1[[#This Row],[EstReplacementCost]],0)</f>
        <v>0</v>
      </c>
    </row>
    <row r="1197" spans="1:36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56</v>
      </c>
      <c r="P1197">
        <v>3</v>
      </c>
      <c r="Q1197" t="s">
        <v>41</v>
      </c>
      <c r="R1197">
        <v>15379</v>
      </c>
      <c r="S1197">
        <v>22384</v>
      </c>
      <c r="T1197">
        <v>4</v>
      </c>
      <c r="U1197" t="s">
        <v>43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tr">
        <f>IF(Table1[[#This Row],[YearsAtCompany]]&lt;1,"0-1",IF(Table1[[#This Row],[YearsAtCompany]]&lt;=3,"1-3",IF(Table1[[#This Row],[YearsAtCompany]]&lt;=6,"4-6","7+")))</f>
        <v>7+</v>
      </c>
      <c r="AH1197">
        <f>Table1[[#This Row],[MonthlyIncome]]*12*0.75</f>
        <v>138411</v>
      </c>
      <c r="AI11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197">
        <f>IF(Table1[[#This Row],[Attrition]]="Yes",Table1[[#This Row],[EstReplacementCost]],0)</f>
        <v>0</v>
      </c>
    </row>
    <row r="1198" spans="1:36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>
        <v>7082</v>
      </c>
      <c r="S1198">
        <v>11591</v>
      </c>
      <c r="T1198">
        <v>3</v>
      </c>
      <c r="U1198" t="s">
        <v>35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tr">
        <f>IF(Table1[[#This Row],[YearsAtCompany]]&lt;1,"0-1",IF(Table1[[#This Row],[YearsAtCompany]]&lt;=3,"1-3",IF(Table1[[#This Row],[YearsAtCompany]]&lt;=6,"4-6","7+")))</f>
        <v>1-3</v>
      </c>
      <c r="AH1198">
        <f>Table1[[#This Row],[MonthlyIncome]]*12*0.75</f>
        <v>63738</v>
      </c>
      <c r="AI11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98">
        <f>IF(Table1[[#This Row],[Attrition]]="Yes",Table1[[#This Row],[EstReplacementCost]],0)</f>
        <v>0</v>
      </c>
    </row>
    <row r="1199" spans="1:36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57</v>
      </c>
      <c r="P1199">
        <v>1</v>
      </c>
      <c r="Q1199" t="s">
        <v>41</v>
      </c>
      <c r="R1199">
        <v>2728</v>
      </c>
      <c r="S1199">
        <v>21082</v>
      </c>
      <c r="T1199">
        <v>1</v>
      </c>
      <c r="U1199" t="s">
        <v>43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tr">
        <f>IF(Table1[[#This Row],[YearsAtCompany]]&lt;1,"0-1",IF(Table1[[#This Row],[YearsAtCompany]]&lt;=3,"1-3",IF(Table1[[#This Row],[YearsAtCompany]]&lt;=6,"4-6","7+")))</f>
        <v>1-3</v>
      </c>
      <c r="AH1199">
        <f>Table1[[#This Row],[MonthlyIncome]]*12*0.75</f>
        <v>24552</v>
      </c>
      <c r="AI11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199">
        <f>IF(Table1[[#This Row],[Attrition]]="Yes",Table1[[#This Row],[EstReplacementCost]],0)</f>
        <v>0</v>
      </c>
    </row>
    <row r="1200" spans="1:36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52</v>
      </c>
      <c r="R1200">
        <v>5368</v>
      </c>
      <c r="S1200">
        <v>16130</v>
      </c>
      <c r="T1200">
        <v>1</v>
      </c>
      <c r="U1200" t="s">
        <v>35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tr">
        <f>IF(Table1[[#This Row],[YearsAtCompany]]&lt;1,"0-1",IF(Table1[[#This Row],[YearsAtCompany]]&lt;=3,"1-3",IF(Table1[[#This Row],[YearsAtCompany]]&lt;=6,"4-6","7+")))</f>
        <v>4-6</v>
      </c>
      <c r="AH1200">
        <f>Table1[[#This Row],[MonthlyIncome]]*12*0.75</f>
        <v>48312</v>
      </c>
      <c r="AI12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00">
        <f>IF(Table1[[#This Row],[Attrition]]="Yes",Table1[[#This Row],[EstReplacementCost]],0)</f>
        <v>0</v>
      </c>
    </row>
    <row r="1201" spans="1:36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54</v>
      </c>
      <c r="P1201">
        <v>3</v>
      </c>
      <c r="Q1201" t="s">
        <v>48</v>
      </c>
      <c r="R1201">
        <v>5347</v>
      </c>
      <c r="S1201">
        <v>7419</v>
      </c>
      <c r="T1201">
        <v>6</v>
      </c>
      <c r="U1201" t="s">
        <v>43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tr">
        <f>IF(Table1[[#This Row],[YearsAtCompany]]&lt;1,"0-1",IF(Table1[[#This Row],[YearsAtCompany]]&lt;=3,"1-3",IF(Table1[[#This Row],[YearsAtCompany]]&lt;=6,"4-6","7+")))</f>
        <v>1-3</v>
      </c>
      <c r="AH1201">
        <f>Table1[[#This Row],[MonthlyIncome]]*12*0.75</f>
        <v>48123</v>
      </c>
      <c r="AI12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01">
        <f>IF(Table1[[#This Row],[Attrition]]="Yes",Table1[[#This Row],[EstReplacementCost]],0)</f>
        <v>0</v>
      </c>
    </row>
    <row r="1202" spans="1:36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61</v>
      </c>
      <c r="P1202">
        <v>4</v>
      </c>
      <c r="Q1202" t="s">
        <v>52</v>
      </c>
      <c r="R1202">
        <v>3195</v>
      </c>
      <c r="S1202">
        <v>4167</v>
      </c>
      <c r="T1202">
        <v>4</v>
      </c>
      <c r="U1202" t="s">
        <v>35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tr">
        <f>IF(Table1[[#This Row],[YearsAtCompany]]&lt;1,"0-1",IF(Table1[[#This Row],[YearsAtCompany]]&lt;=3,"1-3",IF(Table1[[#This Row],[YearsAtCompany]]&lt;=6,"4-6","7+")))</f>
        <v>1-3</v>
      </c>
      <c r="AH1202">
        <f>Table1[[#This Row],[MonthlyIncome]]*12*0.75</f>
        <v>28755</v>
      </c>
      <c r="AI12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02">
        <f>IF(Table1[[#This Row],[Attrition]]="Yes",Table1[[#This Row],[EstReplacementCost]],0)</f>
        <v>0</v>
      </c>
    </row>
    <row r="1203" spans="1:36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50</v>
      </c>
      <c r="P1203">
        <v>3</v>
      </c>
      <c r="Q1203" t="s">
        <v>41</v>
      </c>
      <c r="R1203">
        <v>3989</v>
      </c>
      <c r="S1203">
        <v>20586</v>
      </c>
      <c r="T1203">
        <v>1</v>
      </c>
      <c r="U1203" t="s">
        <v>35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tr">
        <f>IF(Table1[[#This Row],[YearsAtCompany]]&lt;1,"0-1",IF(Table1[[#This Row],[YearsAtCompany]]&lt;=3,"1-3",IF(Table1[[#This Row],[YearsAtCompany]]&lt;=6,"4-6","7+")))</f>
        <v>4-6</v>
      </c>
      <c r="AH1203">
        <f>Table1[[#This Row],[MonthlyIncome]]*12*0.75</f>
        <v>35901</v>
      </c>
      <c r="AI12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03">
        <f>IF(Table1[[#This Row],[Attrition]]="Yes",Table1[[#This Row],[EstReplacementCost]],0)</f>
        <v>35901</v>
      </c>
    </row>
    <row r="1204" spans="1:36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50</v>
      </c>
      <c r="P1204">
        <v>3</v>
      </c>
      <c r="Q1204" t="s">
        <v>48</v>
      </c>
      <c r="R1204">
        <v>3306</v>
      </c>
      <c r="S1204">
        <v>26176</v>
      </c>
      <c r="T1204">
        <v>7</v>
      </c>
      <c r="U1204" t="s">
        <v>43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tr">
        <f>IF(Table1[[#This Row],[YearsAtCompany]]&lt;1,"0-1",IF(Table1[[#This Row],[YearsAtCompany]]&lt;=3,"1-3",IF(Table1[[#This Row],[YearsAtCompany]]&lt;=6,"4-6","7+")))</f>
        <v>0-1</v>
      </c>
      <c r="AH1204">
        <f>Table1[[#This Row],[MonthlyIncome]]*12*0.75</f>
        <v>29754</v>
      </c>
      <c r="AI12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04">
        <f>IF(Table1[[#This Row],[Attrition]]="Yes",Table1[[#This Row],[EstReplacementCost]],0)</f>
        <v>0</v>
      </c>
    </row>
    <row r="1205" spans="1:36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54</v>
      </c>
      <c r="P1205">
        <v>4</v>
      </c>
      <c r="Q1205" t="s">
        <v>48</v>
      </c>
      <c r="R1205">
        <v>7005</v>
      </c>
      <c r="S1205">
        <v>3458</v>
      </c>
      <c r="T1205">
        <v>3</v>
      </c>
      <c r="U1205" t="s">
        <v>43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tr">
        <f>IF(Table1[[#This Row],[YearsAtCompany]]&lt;1,"0-1",IF(Table1[[#This Row],[YearsAtCompany]]&lt;=3,"1-3",IF(Table1[[#This Row],[YearsAtCompany]]&lt;=6,"4-6","7+")))</f>
        <v>4-6</v>
      </c>
      <c r="AH1205">
        <f>Table1[[#This Row],[MonthlyIncome]]*12*0.75</f>
        <v>63045</v>
      </c>
      <c r="AI12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05">
        <f>IF(Table1[[#This Row],[Attrition]]="Yes",Table1[[#This Row],[EstReplacementCost]],0)</f>
        <v>0</v>
      </c>
    </row>
    <row r="1206" spans="1:36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57</v>
      </c>
      <c r="P1206">
        <v>3</v>
      </c>
      <c r="Q1206" t="s">
        <v>48</v>
      </c>
      <c r="R1206">
        <v>2655</v>
      </c>
      <c r="S1206">
        <v>11740</v>
      </c>
      <c r="T1206">
        <v>2</v>
      </c>
      <c r="U1206" t="s">
        <v>35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tr">
        <f>IF(Table1[[#This Row],[YearsAtCompany]]&lt;1,"0-1",IF(Table1[[#This Row],[YearsAtCompany]]&lt;=3,"1-3",IF(Table1[[#This Row],[YearsAtCompany]]&lt;=6,"4-6","7+")))</f>
        <v>7+</v>
      </c>
      <c r="AH1206">
        <f>Table1[[#This Row],[MonthlyIncome]]*12*0.75</f>
        <v>23895</v>
      </c>
      <c r="AI12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06">
        <f>IF(Table1[[#This Row],[Attrition]]="Yes",Table1[[#This Row],[EstReplacementCost]],0)</f>
        <v>23895</v>
      </c>
    </row>
    <row r="1207" spans="1:36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50</v>
      </c>
      <c r="P1207">
        <v>2</v>
      </c>
      <c r="Q1207" t="s">
        <v>41</v>
      </c>
      <c r="R1207">
        <v>1393</v>
      </c>
      <c r="S1207">
        <v>24852</v>
      </c>
      <c r="T1207">
        <v>1</v>
      </c>
      <c r="U1207" t="s">
        <v>43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tr">
        <f>IF(Table1[[#This Row],[YearsAtCompany]]&lt;1,"0-1",IF(Table1[[#This Row],[YearsAtCompany]]&lt;=3,"1-3",IF(Table1[[#This Row],[YearsAtCompany]]&lt;=6,"4-6","7+")))</f>
        <v>1-3</v>
      </c>
      <c r="AH1207">
        <f>Table1[[#This Row],[MonthlyIncome]]*12*0.75</f>
        <v>12537</v>
      </c>
      <c r="AI12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07">
        <f>IF(Table1[[#This Row],[Attrition]]="Yes",Table1[[#This Row],[EstReplacementCost]],0)</f>
        <v>12537</v>
      </c>
    </row>
    <row r="1208" spans="1:36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50</v>
      </c>
      <c r="P1208">
        <v>4</v>
      </c>
      <c r="Q1208" t="s">
        <v>41</v>
      </c>
      <c r="R1208">
        <v>2570</v>
      </c>
      <c r="S1208">
        <v>11925</v>
      </c>
      <c r="T1208">
        <v>1</v>
      </c>
      <c r="U1208" t="s">
        <v>43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tr">
        <f>IF(Table1[[#This Row],[YearsAtCompany]]&lt;1,"0-1",IF(Table1[[#This Row],[YearsAtCompany]]&lt;=3,"1-3",IF(Table1[[#This Row],[YearsAtCompany]]&lt;=6,"4-6","7+")))</f>
        <v>7+</v>
      </c>
      <c r="AH1208">
        <f>Table1[[#This Row],[MonthlyIncome]]*12*0.75</f>
        <v>23130</v>
      </c>
      <c r="AI12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08">
        <f>IF(Table1[[#This Row],[Attrition]]="Yes",Table1[[#This Row],[EstReplacementCost]],0)</f>
        <v>0</v>
      </c>
    </row>
    <row r="1209" spans="1:36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47</v>
      </c>
      <c r="P1209">
        <v>2</v>
      </c>
      <c r="Q1209" t="s">
        <v>52</v>
      </c>
      <c r="R1209">
        <v>3537</v>
      </c>
      <c r="S1209">
        <v>23737</v>
      </c>
      <c r="T1209">
        <v>5</v>
      </c>
      <c r="U1209" t="s">
        <v>43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tr">
        <f>IF(Table1[[#This Row],[YearsAtCompany]]&lt;1,"0-1",IF(Table1[[#This Row],[YearsAtCompany]]&lt;=3,"1-3",IF(Table1[[#This Row],[YearsAtCompany]]&lt;=6,"4-6","7+")))</f>
        <v>4-6</v>
      </c>
      <c r="AH1209">
        <f>Table1[[#This Row],[MonthlyIncome]]*12*0.75</f>
        <v>31833</v>
      </c>
      <c r="AI12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09">
        <f>IF(Table1[[#This Row],[Attrition]]="Yes",Table1[[#This Row],[EstReplacementCost]],0)</f>
        <v>0</v>
      </c>
    </row>
    <row r="1210" spans="1:36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50</v>
      </c>
      <c r="P1210">
        <v>4</v>
      </c>
      <c r="Q1210" t="s">
        <v>48</v>
      </c>
      <c r="R1210">
        <v>3986</v>
      </c>
      <c r="S1210">
        <v>11912</v>
      </c>
      <c r="T1210">
        <v>1</v>
      </c>
      <c r="U1210" t="s">
        <v>43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tr">
        <f>IF(Table1[[#This Row],[YearsAtCompany]]&lt;1,"0-1",IF(Table1[[#This Row],[YearsAtCompany]]&lt;=3,"1-3",IF(Table1[[#This Row],[YearsAtCompany]]&lt;=6,"4-6","7+")))</f>
        <v>7+</v>
      </c>
      <c r="AH1210">
        <f>Table1[[#This Row],[MonthlyIncome]]*12*0.75</f>
        <v>35874</v>
      </c>
      <c r="AI12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10">
        <f>IF(Table1[[#This Row],[Attrition]]="Yes",Table1[[#This Row],[EstReplacementCost]],0)</f>
        <v>0</v>
      </c>
    </row>
    <row r="1211" spans="1:36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54</v>
      </c>
      <c r="P1211">
        <v>4</v>
      </c>
      <c r="Q1211" t="s">
        <v>52</v>
      </c>
      <c r="R1211">
        <v>10883</v>
      </c>
      <c r="S1211">
        <v>20467</v>
      </c>
      <c r="T1211">
        <v>3</v>
      </c>
      <c r="U1211" t="s">
        <v>43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tr">
        <f>IF(Table1[[#This Row],[YearsAtCompany]]&lt;1,"0-1",IF(Table1[[#This Row],[YearsAtCompany]]&lt;=3,"1-3",IF(Table1[[#This Row],[YearsAtCompany]]&lt;=6,"4-6","7+")))</f>
        <v>1-3</v>
      </c>
      <c r="AH1211">
        <f>Table1[[#This Row],[MonthlyIncome]]*12*0.75</f>
        <v>97947</v>
      </c>
      <c r="AI12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11">
        <f>IF(Table1[[#This Row],[Attrition]]="Yes",Table1[[#This Row],[EstReplacementCost]],0)</f>
        <v>0</v>
      </c>
    </row>
    <row r="1212" spans="1:36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50</v>
      </c>
      <c r="P1212">
        <v>2</v>
      </c>
      <c r="Q1212" t="s">
        <v>48</v>
      </c>
      <c r="R1212">
        <v>2028</v>
      </c>
      <c r="S1212">
        <v>13637</v>
      </c>
      <c r="T1212">
        <v>1</v>
      </c>
      <c r="U1212" t="s">
        <v>43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tr">
        <f>IF(Table1[[#This Row],[YearsAtCompany]]&lt;1,"0-1",IF(Table1[[#This Row],[YearsAtCompany]]&lt;=3,"1-3",IF(Table1[[#This Row],[YearsAtCompany]]&lt;=6,"4-6","7+")))</f>
        <v>7+</v>
      </c>
      <c r="AH1212">
        <f>Table1[[#This Row],[MonthlyIncome]]*12*0.75</f>
        <v>18252</v>
      </c>
      <c r="AI12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12">
        <f>IF(Table1[[#This Row],[Attrition]]="Yes",Table1[[#This Row],[EstReplacementCost]],0)</f>
        <v>0</v>
      </c>
    </row>
    <row r="1213" spans="1:36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52</v>
      </c>
      <c r="R1213">
        <v>9525</v>
      </c>
      <c r="S1213">
        <v>7677</v>
      </c>
      <c r="T1213">
        <v>1</v>
      </c>
      <c r="U1213" t="s">
        <v>43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tr">
        <f>IF(Table1[[#This Row],[YearsAtCompany]]&lt;1,"0-1",IF(Table1[[#This Row],[YearsAtCompany]]&lt;=3,"1-3",IF(Table1[[#This Row],[YearsAtCompany]]&lt;=6,"4-6","7+")))</f>
        <v>4-6</v>
      </c>
      <c r="AH1213">
        <f>Table1[[#This Row],[MonthlyIncome]]*12*0.75</f>
        <v>85725</v>
      </c>
      <c r="AI12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13">
        <f>IF(Table1[[#This Row],[Attrition]]="Yes",Table1[[#This Row],[EstReplacementCost]],0)</f>
        <v>0</v>
      </c>
    </row>
    <row r="1214" spans="1:36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47</v>
      </c>
      <c r="P1214">
        <v>4</v>
      </c>
      <c r="Q1214" t="s">
        <v>48</v>
      </c>
      <c r="R1214">
        <v>2929</v>
      </c>
      <c r="S1214">
        <v>20338</v>
      </c>
      <c r="T1214">
        <v>1</v>
      </c>
      <c r="U1214" t="s">
        <v>43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tr">
        <f>IF(Table1[[#This Row],[YearsAtCompany]]&lt;1,"0-1",IF(Table1[[#This Row],[YearsAtCompany]]&lt;=3,"1-3",IF(Table1[[#This Row],[YearsAtCompany]]&lt;=6,"4-6","7+")))</f>
        <v>7+</v>
      </c>
      <c r="AH1214">
        <f>Table1[[#This Row],[MonthlyIncome]]*12*0.75</f>
        <v>26361</v>
      </c>
      <c r="AI12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14">
        <f>IF(Table1[[#This Row],[Attrition]]="Yes",Table1[[#This Row],[EstReplacementCost]],0)</f>
        <v>0</v>
      </c>
    </row>
    <row r="1215" spans="1:36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57</v>
      </c>
      <c r="P1215">
        <v>4</v>
      </c>
      <c r="Q1215" t="s">
        <v>52</v>
      </c>
      <c r="R1215">
        <v>2275</v>
      </c>
      <c r="S1215">
        <v>25103</v>
      </c>
      <c r="T1215">
        <v>1</v>
      </c>
      <c r="U1215" t="s">
        <v>35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tr">
        <f>IF(Table1[[#This Row],[YearsAtCompany]]&lt;1,"0-1",IF(Table1[[#This Row],[YearsAtCompany]]&lt;=3,"1-3",IF(Table1[[#This Row],[YearsAtCompany]]&lt;=6,"4-6","7+")))</f>
        <v>1-3</v>
      </c>
      <c r="AH1215">
        <f>Table1[[#This Row],[MonthlyIncome]]*12*0.75</f>
        <v>20475</v>
      </c>
      <c r="AI12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15">
        <f>IF(Table1[[#This Row],[Attrition]]="Yes",Table1[[#This Row],[EstReplacementCost]],0)</f>
        <v>20475</v>
      </c>
    </row>
    <row r="1216" spans="1:36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54</v>
      </c>
      <c r="P1216">
        <v>4</v>
      </c>
      <c r="Q1216" t="s">
        <v>48</v>
      </c>
      <c r="R1216">
        <v>7879</v>
      </c>
      <c r="S1216">
        <v>14810</v>
      </c>
      <c r="T1216">
        <v>1</v>
      </c>
      <c r="U1216" t="s">
        <v>35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tr">
        <f>IF(Table1[[#This Row],[YearsAtCompany]]&lt;1,"0-1",IF(Table1[[#This Row],[YearsAtCompany]]&lt;=3,"1-3",IF(Table1[[#This Row],[YearsAtCompany]]&lt;=6,"4-6","7+")))</f>
        <v>7+</v>
      </c>
      <c r="AH1216">
        <f>Table1[[#This Row],[MonthlyIncome]]*12*0.75</f>
        <v>70911</v>
      </c>
      <c r="AI12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16">
        <f>IF(Table1[[#This Row],[Attrition]]="Yes",Table1[[#This Row],[EstReplacementCost]],0)</f>
        <v>0</v>
      </c>
    </row>
    <row r="1217" spans="1:36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47</v>
      </c>
      <c r="P1217">
        <v>4</v>
      </c>
      <c r="Q1217" t="s">
        <v>41</v>
      </c>
      <c r="R1217">
        <v>4930</v>
      </c>
      <c r="S1217">
        <v>13970</v>
      </c>
      <c r="T1217">
        <v>0</v>
      </c>
      <c r="U1217" t="s">
        <v>35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tr">
        <f>IF(Table1[[#This Row],[YearsAtCompany]]&lt;1,"0-1",IF(Table1[[#This Row],[YearsAtCompany]]&lt;=3,"1-3",IF(Table1[[#This Row],[YearsAtCompany]]&lt;=6,"4-6","7+")))</f>
        <v>4-6</v>
      </c>
      <c r="AH1217">
        <f>Table1[[#This Row],[MonthlyIncome]]*12*0.75</f>
        <v>44370</v>
      </c>
      <c r="AI12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17">
        <f>IF(Table1[[#This Row],[Attrition]]="Yes",Table1[[#This Row],[EstReplacementCost]],0)</f>
        <v>0</v>
      </c>
    </row>
    <row r="1218" spans="1:36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48</v>
      </c>
      <c r="R1218">
        <v>7847</v>
      </c>
      <c r="S1218">
        <v>6069</v>
      </c>
      <c r="T1218">
        <v>1</v>
      </c>
      <c r="U1218" t="s">
        <v>35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tr">
        <f>IF(Table1[[#This Row],[YearsAtCompany]]&lt;1,"0-1",IF(Table1[[#This Row],[YearsAtCompany]]&lt;=3,"1-3",IF(Table1[[#This Row],[YearsAtCompany]]&lt;=6,"4-6","7+")))</f>
        <v>7+</v>
      </c>
      <c r="AH1218">
        <f>Table1[[#This Row],[MonthlyIncome]]*12*0.75</f>
        <v>70623</v>
      </c>
      <c r="AI12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18">
        <f>IF(Table1[[#This Row],[Attrition]]="Yes",Table1[[#This Row],[EstReplacementCost]],0)</f>
        <v>0</v>
      </c>
    </row>
    <row r="1219" spans="1:36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47</v>
      </c>
      <c r="P1219">
        <v>3</v>
      </c>
      <c r="Q1219" t="s">
        <v>48</v>
      </c>
      <c r="R1219">
        <v>4401</v>
      </c>
      <c r="S1219">
        <v>17616</v>
      </c>
      <c r="T1219">
        <v>1</v>
      </c>
      <c r="U1219" t="s">
        <v>43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tr">
        <f>IF(Table1[[#This Row],[YearsAtCompany]]&lt;1,"0-1",IF(Table1[[#This Row],[YearsAtCompany]]&lt;=3,"1-3",IF(Table1[[#This Row],[YearsAtCompany]]&lt;=6,"4-6","7+")))</f>
        <v>4-6</v>
      </c>
      <c r="AH1219">
        <f>Table1[[#This Row],[MonthlyIncome]]*12*0.75</f>
        <v>39609</v>
      </c>
      <c r="AI12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19">
        <f>IF(Table1[[#This Row],[Attrition]]="Yes",Table1[[#This Row],[EstReplacementCost]],0)</f>
        <v>0</v>
      </c>
    </row>
    <row r="1220" spans="1:36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>
        <v>9241</v>
      </c>
      <c r="S1220">
        <v>15869</v>
      </c>
      <c r="T1220">
        <v>1</v>
      </c>
      <c r="U1220" t="s">
        <v>43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tr">
        <f>IF(Table1[[#This Row],[YearsAtCompany]]&lt;1,"0-1",IF(Table1[[#This Row],[YearsAtCompany]]&lt;=3,"1-3",IF(Table1[[#This Row],[YearsAtCompany]]&lt;=6,"4-6","7+")))</f>
        <v>7+</v>
      </c>
      <c r="AH1220">
        <f>Table1[[#This Row],[MonthlyIncome]]*12*0.75</f>
        <v>83169</v>
      </c>
      <c r="AI12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20">
        <f>IF(Table1[[#This Row],[Attrition]]="Yes",Table1[[#This Row],[EstReplacementCost]],0)</f>
        <v>0</v>
      </c>
    </row>
    <row r="1221" spans="1:36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50</v>
      </c>
      <c r="P1221">
        <v>3</v>
      </c>
      <c r="Q1221" t="s">
        <v>48</v>
      </c>
      <c r="R1221">
        <v>2974</v>
      </c>
      <c r="S1221">
        <v>25412</v>
      </c>
      <c r="T1221">
        <v>9</v>
      </c>
      <c r="U1221" t="s">
        <v>43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tr">
        <f>IF(Table1[[#This Row],[YearsAtCompany]]&lt;1,"0-1",IF(Table1[[#This Row],[YearsAtCompany]]&lt;=3,"1-3",IF(Table1[[#This Row],[YearsAtCompany]]&lt;=6,"4-6","7+")))</f>
        <v>4-6</v>
      </c>
      <c r="AH1221">
        <f>Table1[[#This Row],[MonthlyIncome]]*12*0.75</f>
        <v>26766</v>
      </c>
      <c r="AI12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21">
        <f>IF(Table1[[#This Row],[Attrition]]="Yes",Table1[[#This Row],[EstReplacementCost]],0)</f>
        <v>0</v>
      </c>
    </row>
    <row r="1222" spans="1:36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57</v>
      </c>
      <c r="P1222">
        <v>4</v>
      </c>
      <c r="Q1222" t="s">
        <v>41</v>
      </c>
      <c r="R1222">
        <v>4502</v>
      </c>
      <c r="S1222">
        <v>7439</v>
      </c>
      <c r="T1222">
        <v>3</v>
      </c>
      <c r="U1222" t="s">
        <v>43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tr">
        <f>IF(Table1[[#This Row],[YearsAtCompany]]&lt;1,"0-1",IF(Table1[[#This Row],[YearsAtCompany]]&lt;=3,"1-3",IF(Table1[[#This Row],[YearsAtCompany]]&lt;=6,"4-6","7+")))</f>
        <v>7+</v>
      </c>
      <c r="AH1222">
        <f>Table1[[#This Row],[MonthlyIncome]]*12*0.75</f>
        <v>40518</v>
      </c>
      <c r="AI12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22">
        <f>IF(Table1[[#This Row],[Attrition]]="Yes",Table1[[#This Row],[EstReplacementCost]],0)</f>
        <v>0</v>
      </c>
    </row>
    <row r="1223" spans="1:36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54</v>
      </c>
      <c r="P1223">
        <v>3</v>
      </c>
      <c r="Q1223" t="s">
        <v>48</v>
      </c>
      <c r="R1223">
        <v>10748</v>
      </c>
      <c r="S1223">
        <v>3395</v>
      </c>
      <c r="T1223">
        <v>3</v>
      </c>
      <c r="U1223" t="s">
        <v>43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tr">
        <f>IF(Table1[[#This Row],[YearsAtCompany]]&lt;1,"0-1",IF(Table1[[#This Row],[YearsAtCompany]]&lt;=3,"1-3",IF(Table1[[#This Row],[YearsAtCompany]]&lt;=6,"4-6","7+")))</f>
        <v>7+</v>
      </c>
      <c r="AH1223">
        <f>Table1[[#This Row],[MonthlyIncome]]*12*0.75</f>
        <v>96732</v>
      </c>
      <c r="AI12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23">
        <f>IF(Table1[[#This Row],[Attrition]]="Yes",Table1[[#This Row],[EstReplacementCost]],0)</f>
        <v>0</v>
      </c>
    </row>
    <row r="1224" spans="1:36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61</v>
      </c>
      <c r="P1224">
        <v>3</v>
      </c>
      <c r="Q1224" t="s">
        <v>48</v>
      </c>
      <c r="R1224">
        <v>1555</v>
      </c>
      <c r="S1224">
        <v>11585</v>
      </c>
      <c r="T1224">
        <v>1</v>
      </c>
      <c r="U1224" t="s">
        <v>43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tr">
        <f>IF(Table1[[#This Row],[YearsAtCompany]]&lt;1,"0-1",IF(Table1[[#This Row],[YearsAtCompany]]&lt;=3,"1-3",IF(Table1[[#This Row],[YearsAtCompany]]&lt;=6,"4-6","7+")))</f>
        <v>1-3</v>
      </c>
      <c r="AH1224">
        <f>Table1[[#This Row],[MonthlyIncome]]*12*0.75</f>
        <v>13995</v>
      </c>
      <c r="AI12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24">
        <f>IF(Table1[[#This Row],[Attrition]]="Yes",Table1[[#This Row],[EstReplacementCost]],0)</f>
        <v>13995</v>
      </c>
    </row>
    <row r="1225" spans="1:36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48</v>
      </c>
      <c r="R1225">
        <v>12936</v>
      </c>
      <c r="S1225">
        <v>24164</v>
      </c>
      <c r="T1225">
        <v>7</v>
      </c>
      <c r="U1225" t="s">
        <v>43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tr">
        <f>IF(Table1[[#This Row],[YearsAtCompany]]&lt;1,"0-1",IF(Table1[[#This Row],[YearsAtCompany]]&lt;=3,"1-3",IF(Table1[[#This Row],[YearsAtCompany]]&lt;=6,"4-6","7+")))</f>
        <v>7+</v>
      </c>
      <c r="AH1225">
        <f>Table1[[#This Row],[MonthlyIncome]]*12*0.75</f>
        <v>116424</v>
      </c>
      <c r="AI12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25">
        <f>IF(Table1[[#This Row],[Attrition]]="Yes",Table1[[#This Row],[EstReplacementCost]],0)</f>
        <v>116424</v>
      </c>
    </row>
    <row r="1226" spans="1:36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50</v>
      </c>
      <c r="P1226">
        <v>3</v>
      </c>
      <c r="Q1226" t="s">
        <v>48</v>
      </c>
      <c r="R1226">
        <v>2305</v>
      </c>
      <c r="S1226">
        <v>6217</v>
      </c>
      <c r="T1226">
        <v>1</v>
      </c>
      <c r="U1226" t="s">
        <v>43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tr">
        <f>IF(Table1[[#This Row],[YearsAtCompany]]&lt;1,"0-1",IF(Table1[[#This Row],[YearsAtCompany]]&lt;=3,"1-3",IF(Table1[[#This Row],[YearsAtCompany]]&lt;=6,"4-6","7+")))</f>
        <v>1-3</v>
      </c>
      <c r="AH1226">
        <f>Table1[[#This Row],[MonthlyIncome]]*12*0.75</f>
        <v>20745</v>
      </c>
      <c r="AI12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26">
        <f>IF(Table1[[#This Row],[Attrition]]="Yes",Table1[[#This Row],[EstReplacementCost]],0)</f>
        <v>0</v>
      </c>
    </row>
    <row r="1227" spans="1:36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58</v>
      </c>
      <c r="P1227">
        <v>2</v>
      </c>
      <c r="Q1227" t="s">
        <v>41</v>
      </c>
      <c r="R1227">
        <v>16704</v>
      </c>
      <c r="S1227">
        <v>17119</v>
      </c>
      <c r="T1227">
        <v>1</v>
      </c>
      <c r="U1227" t="s">
        <v>43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tr">
        <f>IF(Table1[[#This Row],[YearsAtCompany]]&lt;1,"0-1",IF(Table1[[#This Row],[YearsAtCompany]]&lt;=3,"1-3",IF(Table1[[#This Row],[YearsAtCompany]]&lt;=6,"4-6","7+")))</f>
        <v>7+</v>
      </c>
      <c r="AH1227">
        <f>Table1[[#This Row],[MonthlyIncome]]*12*0.75</f>
        <v>150336</v>
      </c>
      <c r="AI12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27">
        <f>IF(Table1[[#This Row],[Attrition]]="Yes",Table1[[#This Row],[EstReplacementCost]],0)</f>
        <v>0</v>
      </c>
    </row>
    <row r="1228" spans="1:36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47</v>
      </c>
      <c r="P1228">
        <v>3</v>
      </c>
      <c r="Q1228" t="s">
        <v>48</v>
      </c>
      <c r="R1228">
        <v>3433</v>
      </c>
      <c r="S1228">
        <v>17360</v>
      </c>
      <c r="T1228">
        <v>6</v>
      </c>
      <c r="U1228" t="s">
        <v>43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tr">
        <f>IF(Table1[[#This Row],[YearsAtCompany]]&lt;1,"0-1",IF(Table1[[#This Row],[YearsAtCompany]]&lt;=3,"1-3",IF(Table1[[#This Row],[YearsAtCompany]]&lt;=6,"4-6","7+")))</f>
        <v>4-6</v>
      </c>
      <c r="AH1228">
        <f>Table1[[#This Row],[MonthlyIncome]]*12*0.75</f>
        <v>30897</v>
      </c>
      <c r="AI12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28">
        <f>IF(Table1[[#This Row],[Attrition]]="Yes",Table1[[#This Row],[EstReplacementCost]],0)</f>
        <v>0</v>
      </c>
    </row>
    <row r="1229" spans="1:36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50</v>
      </c>
      <c r="P1229">
        <v>3</v>
      </c>
      <c r="Q1229" t="s">
        <v>48</v>
      </c>
      <c r="R1229">
        <v>3477</v>
      </c>
      <c r="S1229">
        <v>18103</v>
      </c>
      <c r="T1229">
        <v>1</v>
      </c>
      <c r="U1229" t="s">
        <v>43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tr">
        <f>IF(Table1[[#This Row],[YearsAtCompany]]&lt;1,"0-1",IF(Table1[[#This Row],[YearsAtCompany]]&lt;=3,"1-3",IF(Table1[[#This Row],[YearsAtCompany]]&lt;=6,"4-6","7+")))</f>
        <v>4-6</v>
      </c>
      <c r="AH1229">
        <f>Table1[[#This Row],[MonthlyIncome]]*12*0.75</f>
        <v>31293</v>
      </c>
      <c r="AI12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29">
        <f>IF(Table1[[#This Row],[Attrition]]="Yes",Table1[[#This Row],[EstReplacementCost]],0)</f>
        <v>0</v>
      </c>
    </row>
    <row r="1230" spans="1:36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61</v>
      </c>
      <c r="P1230">
        <v>2</v>
      </c>
      <c r="Q1230" t="s">
        <v>48</v>
      </c>
      <c r="R1230">
        <v>6430</v>
      </c>
      <c r="S1230">
        <v>20794</v>
      </c>
      <c r="T1230">
        <v>6</v>
      </c>
      <c r="U1230" t="s">
        <v>43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tr">
        <f>IF(Table1[[#This Row],[YearsAtCompany]]&lt;1,"0-1",IF(Table1[[#This Row],[YearsAtCompany]]&lt;=3,"1-3",IF(Table1[[#This Row],[YearsAtCompany]]&lt;=6,"4-6","7+")))</f>
        <v>1-3</v>
      </c>
      <c r="AH1230">
        <f>Table1[[#This Row],[MonthlyIncome]]*12*0.75</f>
        <v>57870</v>
      </c>
      <c r="AI12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30">
        <f>IF(Table1[[#This Row],[Attrition]]="Yes",Table1[[#This Row],[EstReplacementCost]],0)</f>
        <v>0</v>
      </c>
    </row>
    <row r="1231" spans="1:36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53</v>
      </c>
      <c r="P1231">
        <v>1</v>
      </c>
      <c r="Q1231" t="s">
        <v>48</v>
      </c>
      <c r="R1231">
        <v>6516</v>
      </c>
      <c r="S1231">
        <v>5041</v>
      </c>
      <c r="T1231">
        <v>2</v>
      </c>
      <c r="U1231" t="s">
        <v>35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tr">
        <f>IF(Table1[[#This Row],[YearsAtCompany]]&lt;1,"0-1",IF(Table1[[#This Row],[YearsAtCompany]]&lt;=3,"1-3",IF(Table1[[#This Row],[YearsAtCompany]]&lt;=6,"4-6","7+")))</f>
        <v>1-3</v>
      </c>
      <c r="AH1231">
        <f>Table1[[#This Row],[MonthlyIncome]]*12*0.75</f>
        <v>58644</v>
      </c>
      <c r="AI12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231">
        <f>IF(Table1[[#This Row],[Attrition]]="Yes",Table1[[#This Row],[EstReplacementCost]],0)</f>
        <v>0</v>
      </c>
    </row>
    <row r="1232" spans="1:36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50</v>
      </c>
      <c r="P1232">
        <v>1</v>
      </c>
      <c r="Q1232" t="s">
        <v>52</v>
      </c>
      <c r="R1232">
        <v>3907</v>
      </c>
      <c r="S1232">
        <v>3622</v>
      </c>
      <c r="T1232">
        <v>1</v>
      </c>
      <c r="U1232" t="s">
        <v>43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tr">
        <f>IF(Table1[[#This Row],[YearsAtCompany]]&lt;1,"0-1",IF(Table1[[#This Row],[YearsAtCompany]]&lt;=3,"1-3",IF(Table1[[#This Row],[YearsAtCompany]]&lt;=6,"4-6","7+")))</f>
        <v>4-6</v>
      </c>
      <c r="AH1232">
        <f>Table1[[#This Row],[MonthlyIncome]]*12*0.75</f>
        <v>35163</v>
      </c>
      <c r="AI12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32">
        <f>IF(Table1[[#This Row],[Attrition]]="Yes",Table1[[#This Row],[EstReplacementCost]],0)</f>
        <v>0</v>
      </c>
    </row>
    <row r="1233" spans="1:36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54</v>
      </c>
      <c r="P1233">
        <v>2</v>
      </c>
      <c r="Q1233" t="s">
        <v>41</v>
      </c>
      <c r="R1233">
        <v>5562</v>
      </c>
      <c r="S1233">
        <v>9697</v>
      </c>
      <c r="T1233">
        <v>6</v>
      </c>
      <c r="U1233" t="s">
        <v>43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tr">
        <f>IF(Table1[[#This Row],[YearsAtCompany]]&lt;1,"0-1",IF(Table1[[#This Row],[YearsAtCompany]]&lt;=3,"1-3",IF(Table1[[#This Row],[YearsAtCompany]]&lt;=6,"4-6","7+")))</f>
        <v>7+</v>
      </c>
      <c r="AH1233">
        <f>Table1[[#This Row],[MonthlyIncome]]*12*0.75</f>
        <v>50058</v>
      </c>
      <c r="AI12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33">
        <f>IF(Table1[[#This Row],[Attrition]]="Yes",Table1[[#This Row],[EstReplacementCost]],0)</f>
        <v>0</v>
      </c>
    </row>
    <row r="1234" spans="1:36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53</v>
      </c>
      <c r="P1234">
        <v>3</v>
      </c>
      <c r="Q1234" t="s">
        <v>48</v>
      </c>
      <c r="R1234">
        <v>6883</v>
      </c>
      <c r="S1234">
        <v>5151</v>
      </c>
      <c r="T1234">
        <v>2</v>
      </c>
      <c r="U1234" t="s">
        <v>43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tr">
        <f>IF(Table1[[#This Row],[YearsAtCompany]]&lt;1,"0-1",IF(Table1[[#This Row],[YearsAtCompany]]&lt;=3,"1-3",IF(Table1[[#This Row],[YearsAtCompany]]&lt;=6,"4-6","7+")))</f>
        <v>7+</v>
      </c>
      <c r="AH1234">
        <f>Table1[[#This Row],[MonthlyIncome]]*12*0.75</f>
        <v>61947</v>
      </c>
      <c r="AI12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34">
        <f>IF(Table1[[#This Row],[Attrition]]="Yes",Table1[[#This Row],[EstReplacementCost]],0)</f>
        <v>0</v>
      </c>
    </row>
    <row r="1235" spans="1:36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47</v>
      </c>
      <c r="P1235">
        <v>4</v>
      </c>
      <c r="Q1235" t="s">
        <v>48</v>
      </c>
      <c r="R1235">
        <v>2862</v>
      </c>
      <c r="S1235">
        <v>3811</v>
      </c>
      <c r="T1235">
        <v>1</v>
      </c>
      <c r="U1235" t="s">
        <v>43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tr">
        <f>IF(Table1[[#This Row],[YearsAtCompany]]&lt;1,"0-1",IF(Table1[[#This Row],[YearsAtCompany]]&lt;=3,"1-3",IF(Table1[[#This Row],[YearsAtCompany]]&lt;=6,"4-6","7+")))</f>
        <v>7+</v>
      </c>
      <c r="AH1235">
        <f>Table1[[#This Row],[MonthlyIncome]]*12*0.75</f>
        <v>25758</v>
      </c>
      <c r="AI12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35">
        <f>IF(Table1[[#This Row],[Attrition]]="Yes",Table1[[#This Row],[EstReplacementCost]],0)</f>
        <v>0</v>
      </c>
    </row>
    <row r="1236" spans="1:36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48</v>
      </c>
      <c r="R1236">
        <v>4978</v>
      </c>
      <c r="S1236">
        <v>3536</v>
      </c>
      <c r="T1236">
        <v>7</v>
      </c>
      <c r="U1236" t="s">
        <v>43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tr">
        <f>IF(Table1[[#This Row],[YearsAtCompany]]&lt;1,"0-1",IF(Table1[[#This Row],[YearsAtCompany]]&lt;=3,"1-3",IF(Table1[[#This Row],[YearsAtCompany]]&lt;=6,"4-6","7+")))</f>
        <v>1-3</v>
      </c>
      <c r="AH1236">
        <f>Table1[[#This Row],[MonthlyIncome]]*12*0.75</f>
        <v>44802</v>
      </c>
      <c r="AI12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36">
        <f>IF(Table1[[#This Row],[Attrition]]="Yes",Table1[[#This Row],[EstReplacementCost]],0)</f>
        <v>0</v>
      </c>
    </row>
    <row r="1237" spans="1:36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52</v>
      </c>
      <c r="R1237">
        <v>10368</v>
      </c>
      <c r="S1237">
        <v>5596</v>
      </c>
      <c r="T1237">
        <v>4</v>
      </c>
      <c r="U1237" t="s">
        <v>35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tr">
        <f>IF(Table1[[#This Row],[YearsAtCompany]]&lt;1,"0-1",IF(Table1[[#This Row],[YearsAtCompany]]&lt;=3,"1-3",IF(Table1[[#This Row],[YearsAtCompany]]&lt;=6,"4-6","7+")))</f>
        <v>7+</v>
      </c>
      <c r="AH1237">
        <f>Table1[[#This Row],[MonthlyIncome]]*12*0.75</f>
        <v>93312</v>
      </c>
      <c r="AI12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37">
        <f>IF(Table1[[#This Row],[Attrition]]="Yes",Table1[[#This Row],[EstReplacementCost]],0)</f>
        <v>0</v>
      </c>
    </row>
    <row r="1238" spans="1:36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52</v>
      </c>
      <c r="R1238">
        <v>6134</v>
      </c>
      <c r="S1238">
        <v>8658</v>
      </c>
      <c r="T1238">
        <v>5</v>
      </c>
      <c r="U1238" t="s">
        <v>35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tr">
        <f>IF(Table1[[#This Row],[YearsAtCompany]]&lt;1,"0-1",IF(Table1[[#This Row],[YearsAtCompany]]&lt;=3,"1-3",IF(Table1[[#This Row],[YearsAtCompany]]&lt;=6,"4-6","7+")))</f>
        <v>1-3</v>
      </c>
      <c r="AH1238">
        <f>Table1[[#This Row],[MonthlyIncome]]*12*0.75</f>
        <v>55206</v>
      </c>
      <c r="AI12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238">
        <f>IF(Table1[[#This Row],[Attrition]]="Yes",Table1[[#This Row],[EstReplacementCost]],0)</f>
        <v>55206</v>
      </c>
    </row>
    <row r="1239" spans="1:36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>
        <v>6735</v>
      </c>
      <c r="S1239">
        <v>12147</v>
      </c>
      <c r="T1239">
        <v>6</v>
      </c>
      <c r="U1239" t="s">
        <v>43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tr">
        <f>IF(Table1[[#This Row],[YearsAtCompany]]&lt;1,"0-1",IF(Table1[[#This Row],[YearsAtCompany]]&lt;=3,"1-3",IF(Table1[[#This Row],[YearsAtCompany]]&lt;=6,"4-6","7+")))</f>
        <v>0-1</v>
      </c>
      <c r="AH1239">
        <f>Table1[[#This Row],[MonthlyIncome]]*12*0.75</f>
        <v>60615</v>
      </c>
      <c r="AI12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39">
        <f>IF(Table1[[#This Row],[Attrition]]="Yes",Table1[[#This Row],[EstReplacementCost]],0)</f>
        <v>60615</v>
      </c>
    </row>
    <row r="1240" spans="1:36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50</v>
      </c>
      <c r="P1240">
        <v>2</v>
      </c>
      <c r="Q1240" t="s">
        <v>41</v>
      </c>
      <c r="R1240">
        <v>3295</v>
      </c>
      <c r="S1240">
        <v>12862</v>
      </c>
      <c r="T1240">
        <v>1</v>
      </c>
      <c r="U1240" t="s">
        <v>43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tr">
        <f>IF(Table1[[#This Row],[YearsAtCompany]]&lt;1,"0-1",IF(Table1[[#This Row],[YearsAtCompany]]&lt;=3,"1-3",IF(Table1[[#This Row],[YearsAtCompany]]&lt;=6,"4-6","7+")))</f>
        <v>1-3</v>
      </c>
      <c r="AH1240">
        <f>Table1[[#This Row],[MonthlyIncome]]*12*0.75</f>
        <v>29655</v>
      </c>
      <c r="AI12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40">
        <f>IF(Table1[[#This Row],[Attrition]]="Yes",Table1[[#This Row],[EstReplacementCost]],0)</f>
        <v>0</v>
      </c>
    </row>
    <row r="1241" spans="1:36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53</v>
      </c>
      <c r="P1241">
        <v>4</v>
      </c>
      <c r="Q1241" t="s">
        <v>41</v>
      </c>
      <c r="R1241">
        <v>5238</v>
      </c>
      <c r="S1241">
        <v>6670</v>
      </c>
      <c r="T1241">
        <v>2</v>
      </c>
      <c r="U1241" t="s">
        <v>43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tr">
        <f>IF(Table1[[#This Row],[YearsAtCompany]]&lt;1,"0-1",IF(Table1[[#This Row],[YearsAtCompany]]&lt;=3,"1-3",IF(Table1[[#This Row],[YearsAtCompany]]&lt;=6,"4-6","7+")))</f>
        <v>4-6</v>
      </c>
      <c r="AH1241">
        <f>Table1[[#This Row],[MonthlyIncome]]*12*0.75</f>
        <v>47142</v>
      </c>
      <c r="AI12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41">
        <f>IF(Table1[[#This Row],[Attrition]]="Yes",Table1[[#This Row],[EstReplacementCost]],0)</f>
        <v>0</v>
      </c>
    </row>
    <row r="1242" spans="1:36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50</v>
      </c>
      <c r="P1242">
        <v>4</v>
      </c>
      <c r="Q1242" t="s">
        <v>48</v>
      </c>
      <c r="R1242">
        <v>6472</v>
      </c>
      <c r="S1242">
        <v>8989</v>
      </c>
      <c r="T1242">
        <v>1</v>
      </c>
      <c r="U1242" t="s">
        <v>35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tr">
        <f>IF(Table1[[#This Row],[YearsAtCompany]]&lt;1,"0-1",IF(Table1[[#This Row],[YearsAtCompany]]&lt;=3,"1-3",IF(Table1[[#This Row],[YearsAtCompany]]&lt;=6,"4-6","7+")))</f>
        <v>7+</v>
      </c>
      <c r="AH1242">
        <f>Table1[[#This Row],[MonthlyIncome]]*12*0.75</f>
        <v>58248</v>
      </c>
      <c r="AI12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42">
        <f>IF(Table1[[#This Row],[Attrition]]="Yes",Table1[[#This Row],[EstReplacementCost]],0)</f>
        <v>0</v>
      </c>
    </row>
    <row r="1243" spans="1:36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48</v>
      </c>
      <c r="R1243">
        <v>9610</v>
      </c>
      <c r="S1243">
        <v>3840</v>
      </c>
      <c r="T1243">
        <v>3</v>
      </c>
      <c r="U1243" t="s">
        <v>43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tr">
        <f>IF(Table1[[#This Row],[YearsAtCompany]]&lt;1,"0-1",IF(Table1[[#This Row],[YearsAtCompany]]&lt;=3,"1-3",IF(Table1[[#This Row],[YearsAtCompany]]&lt;=6,"4-6","7+")))</f>
        <v>4-6</v>
      </c>
      <c r="AH1243">
        <f>Table1[[#This Row],[MonthlyIncome]]*12*0.75</f>
        <v>86490</v>
      </c>
      <c r="AI12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43">
        <f>IF(Table1[[#This Row],[Attrition]]="Yes",Table1[[#This Row],[EstReplacementCost]],0)</f>
        <v>0</v>
      </c>
    </row>
    <row r="1244" spans="1:36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56</v>
      </c>
      <c r="P1244">
        <v>2</v>
      </c>
      <c r="Q1244" t="s">
        <v>41</v>
      </c>
      <c r="R1244">
        <v>19833</v>
      </c>
      <c r="S1244">
        <v>4349</v>
      </c>
      <c r="T1244">
        <v>1</v>
      </c>
      <c r="U1244" t="s">
        <v>43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tr">
        <f>IF(Table1[[#This Row],[YearsAtCompany]]&lt;1,"0-1",IF(Table1[[#This Row],[YearsAtCompany]]&lt;=3,"1-3",IF(Table1[[#This Row],[YearsAtCompany]]&lt;=6,"4-6","7+")))</f>
        <v>7+</v>
      </c>
      <c r="AH1244">
        <f>Table1[[#This Row],[MonthlyIncome]]*12*0.75</f>
        <v>178497</v>
      </c>
      <c r="AI12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44">
        <f>IF(Table1[[#This Row],[Attrition]]="Yes",Table1[[#This Row],[EstReplacementCost]],0)</f>
        <v>0</v>
      </c>
    </row>
    <row r="1245" spans="1:36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61</v>
      </c>
      <c r="P1245">
        <v>3</v>
      </c>
      <c r="Q1245" t="s">
        <v>48</v>
      </c>
      <c r="R1245">
        <v>9756</v>
      </c>
      <c r="S1245">
        <v>6595</v>
      </c>
      <c r="T1245">
        <v>4</v>
      </c>
      <c r="U1245" t="s">
        <v>43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tr">
        <f>IF(Table1[[#This Row],[YearsAtCompany]]&lt;1,"0-1",IF(Table1[[#This Row],[YearsAtCompany]]&lt;=3,"1-3",IF(Table1[[#This Row],[YearsAtCompany]]&lt;=6,"4-6","7+")))</f>
        <v>4-6</v>
      </c>
      <c r="AH1245">
        <f>Table1[[#This Row],[MonthlyIncome]]*12*0.75</f>
        <v>87804</v>
      </c>
      <c r="AI12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45">
        <f>IF(Table1[[#This Row],[Attrition]]="Yes",Table1[[#This Row],[EstReplacementCost]],0)</f>
        <v>0</v>
      </c>
    </row>
    <row r="1246" spans="1:36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47</v>
      </c>
      <c r="P1246">
        <v>1</v>
      </c>
      <c r="Q1246" t="s">
        <v>41</v>
      </c>
      <c r="R1246">
        <v>4968</v>
      </c>
      <c r="S1246">
        <v>26427</v>
      </c>
      <c r="T1246">
        <v>0</v>
      </c>
      <c r="U1246" t="s">
        <v>43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tr">
        <f>IF(Table1[[#This Row],[YearsAtCompany]]&lt;1,"0-1",IF(Table1[[#This Row],[YearsAtCompany]]&lt;=3,"1-3",IF(Table1[[#This Row],[YearsAtCompany]]&lt;=6,"4-6","7+")))</f>
        <v>7+</v>
      </c>
      <c r="AH1246">
        <f>Table1[[#This Row],[MonthlyIncome]]*12*0.75</f>
        <v>44712</v>
      </c>
      <c r="AI12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46">
        <f>IF(Table1[[#This Row],[Attrition]]="Yes",Table1[[#This Row],[EstReplacementCost]],0)</f>
        <v>0</v>
      </c>
    </row>
    <row r="1247" spans="1:36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61</v>
      </c>
      <c r="P1247">
        <v>4</v>
      </c>
      <c r="Q1247" t="s">
        <v>48</v>
      </c>
      <c r="R1247">
        <v>2145</v>
      </c>
      <c r="S1247">
        <v>2097</v>
      </c>
      <c r="T1247">
        <v>0</v>
      </c>
      <c r="U1247" t="s">
        <v>43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tr">
        <f>IF(Table1[[#This Row],[YearsAtCompany]]&lt;1,"0-1",IF(Table1[[#This Row],[YearsAtCompany]]&lt;=3,"1-3",IF(Table1[[#This Row],[YearsAtCompany]]&lt;=6,"4-6","7+")))</f>
        <v>1-3</v>
      </c>
      <c r="AH1247">
        <f>Table1[[#This Row],[MonthlyIncome]]*12*0.75</f>
        <v>19305</v>
      </c>
      <c r="AI12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47">
        <f>IF(Table1[[#This Row],[Attrition]]="Yes",Table1[[#This Row],[EstReplacementCost]],0)</f>
        <v>0</v>
      </c>
    </row>
    <row r="1248" spans="1:36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61</v>
      </c>
      <c r="P1248">
        <v>4</v>
      </c>
      <c r="Q1248" t="s">
        <v>52</v>
      </c>
      <c r="R1248">
        <v>2180</v>
      </c>
      <c r="S1248">
        <v>9732</v>
      </c>
      <c r="T1248">
        <v>6</v>
      </c>
      <c r="U1248" t="s">
        <v>43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tr">
        <f>IF(Table1[[#This Row],[YearsAtCompany]]&lt;1,"0-1",IF(Table1[[#This Row],[YearsAtCompany]]&lt;=3,"1-3",IF(Table1[[#This Row],[YearsAtCompany]]&lt;=6,"4-6","7+")))</f>
        <v>4-6</v>
      </c>
      <c r="AH1248">
        <f>Table1[[#This Row],[MonthlyIncome]]*12*0.75</f>
        <v>19620</v>
      </c>
      <c r="AI12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48">
        <f>IF(Table1[[#This Row],[Attrition]]="Yes",Table1[[#This Row],[EstReplacementCost]],0)</f>
        <v>19620</v>
      </c>
    </row>
    <row r="1249" spans="1:36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48</v>
      </c>
      <c r="R1249">
        <v>8346</v>
      </c>
      <c r="S1249">
        <v>20943</v>
      </c>
      <c r="T1249">
        <v>1</v>
      </c>
      <c r="U1249" t="s">
        <v>43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tr">
        <f>IF(Table1[[#This Row],[YearsAtCompany]]&lt;1,"0-1",IF(Table1[[#This Row],[YearsAtCompany]]&lt;=3,"1-3",IF(Table1[[#This Row],[YearsAtCompany]]&lt;=6,"4-6","7+")))</f>
        <v>4-6</v>
      </c>
      <c r="AH1249">
        <f>Table1[[#This Row],[MonthlyIncome]]*12*0.75</f>
        <v>75114</v>
      </c>
      <c r="AI12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49">
        <f>IF(Table1[[#This Row],[Attrition]]="Yes",Table1[[#This Row],[EstReplacementCost]],0)</f>
        <v>0</v>
      </c>
    </row>
    <row r="1250" spans="1:36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47</v>
      </c>
      <c r="P1250">
        <v>4</v>
      </c>
      <c r="Q1250" t="s">
        <v>41</v>
      </c>
      <c r="R1250">
        <v>3445</v>
      </c>
      <c r="S1250">
        <v>6152</v>
      </c>
      <c r="T1250">
        <v>1</v>
      </c>
      <c r="U1250" t="s">
        <v>43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tr">
        <f>IF(Table1[[#This Row],[YearsAtCompany]]&lt;1,"0-1",IF(Table1[[#This Row],[YearsAtCompany]]&lt;=3,"1-3",IF(Table1[[#This Row],[YearsAtCompany]]&lt;=6,"4-6","7+")))</f>
        <v>4-6</v>
      </c>
      <c r="AH1250">
        <f>Table1[[#This Row],[MonthlyIncome]]*12*0.75</f>
        <v>31005</v>
      </c>
      <c r="AI12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50">
        <f>IF(Table1[[#This Row],[Attrition]]="Yes",Table1[[#This Row],[EstReplacementCost]],0)</f>
        <v>0</v>
      </c>
    </row>
    <row r="1251" spans="1:36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57</v>
      </c>
      <c r="P1251">
        <v>2</v>
      </c>
      <c r="Q1251" t="s">
        <v>41</v>
      </c>
      <c r="R1251">
        <v>2760</v>
      </c>
      <c r="S1251">
        <v>14630</v>
      </c>
      <c r="T1251">
        <v>1</v>
      </c>
      <c r="U1251" t="s">
        <v>43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tr">
        <f>IF(Table1[[#This Row],[YearsAtCompany]]&lt;1,"0-1",IF(Table1[[#This Row],[YearsAtCompany]]&lt;=3,"1-3",IF(Table1[[#This Row],[YearsAtCompany]]&lt;=6,"4-6","7+")))</f>
        <v>1-3</v>
      </c>
      <c r="AH1251">
        <f>Table1[[#This Row],[MonthlyIncome]]*12*0.75</f>
        <v>24840</v>
      </c>
      <c r="AI12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51">
        <f>IF(Table1[[#This Row],[Attrition]]="Yes",Table1[[#This Row],[EstReplacementCost]],0)</f>
        <v>24840</v>
      </c>
    </row>
    <row r="1252" spans="1:36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54</v>
      </c>
      <c r="P1252">
        <v>3</v>
      </c>
      <c r="Q1252" t="s">
        <v>41</v>
      </c>
      <c r="R1252">
        <v>6294</v>
      </c>
      <c r="S1252">
        <v>23060</v>
      </c>
      <c r="T1252">
        <v>8</v>
      </c>
      <c r="U1252" t="s">
        <v>35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tr">
        <f>IF(Table1[[#This Row],[YearsAtCompany]]&lt;1,"0-1",IF(Table1[[#This Row],[YearsAtCompany]]&lt;=3,"1-3",IF(Table1[[#This Row],[YearsAtCompany]]&lt;=6,"4-6","7+")))</f>
        <v>1-3</v>
      </c>
      <c r="AH1252">
        <f>Table1[[#This Row],[MonthlyIncome]]*12*0.75</f>
        <v>56646</v>
      </c>
      <c r="AI12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52">
        <f>IF(Table1[[#This Row],[Attrition]]="Yes",Table1[[#This Row],[EstReplacementCost]],0)</f>
        <v>0</v>
      </c>
    </row>
    <row r="1253" spans="1:36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52</v>
      </c>
      <c r="R1253">
        <v>7140</v>
      </c>
      <c r="S1253">
        <v>3088</v>
      </c>
      <c r="T1253">
        <v>2</v>
      </c>
      <c r="U1253" t="s">
        <v>43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tr">
        <f>IF(Table1[[#This Row],[YearsAtCompany]]&lt;1,"0-1",IF(Table1[[#This Row],[YearsAtCompany]]&lt;=3,"1-3",IF(Table1[[#This Row],[YearsAtCompany]]&lt;=6,"4-6","7+")))</f>
        <v>7+</v>
      </c>
      <c r="AH1253">
        <f>Table1[[#This Row],[MonthlyIncome]]*12*0.75</f>
        <v>64260</v>
      </c>
      <c r="AI12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53">
        <f>IF(Table1[[#This Row],[Attrition]]="Yes",Table1[[#This Row],[EstReplacementCost]],0)</f>
        <v>0</v>
      </c>
    </row>
    <row r="1254" spans="1:36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47</v>
      </c>
      <c r="P1254">
        <v>4</v>
      </c>
      <c r="Q1254" t="s">
        <v>48</v>
      </c>
      <c r="R1254">
        <v>2932</v>
      </c>
      <c r="S1254">
        <v>5586</v>
      </c>
      <c r="T1254">
        <v>0</v>
      </c>
      <c r="U1254" t="s">
        <v>35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tr">
        <f>IF(Table1[[#This Row],[YearsAtCompany]]&lt;1,"0-1",IF(Table1[[#This Row],[YearsAtCompany]]&lt;=3,"1-3",IF(Table1[[#This Row],[YearsAtCompany]]&lt;=6,"4-6","7+")))</f>
        <v>4-6</v>
      </c>
      <c r="AH1254">
        <f>Table1[[#This Row],[MonthlyIncome]]*12*0.75</f>
        <v>26388</v>
      </c>
      <c r="AI12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54">
        <f>IF(Table1[[#This Row],[Attrition]]="Yes",Table1[[#This Row],[EstReplacementCost]],0)</f>
        <v>0</v>
      </c>
    </row>
    <row r="1255" spans="1:36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>
        <v>5147</v>
      </c>
      <c r="S1255">
        <v>10697</v>
      </c>
      <c r="T1255">
        <v>8</v>
      </c>
      <c r="U1255" t="s">
        <v>43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tr">
        <f>IF(Table1[[#This Row],[YearsAtCompany]]&lt;1,"0-1",IF(Table1[[#This Row],[YearsAtCompany]]&lt;=3,"1-3",IF(Table1[[#This Row],[YearsAtCompany]]&lt;=6,"4-6","7+")))</f>
        <v>7+</v>
      </c>
      <c r="AH1255">
        <f>Table1[[#This Row],[MonthlyIncome]]*12*0.75</f>
        <v>46323</v>
      </c>
      <c r="AI12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55">
        <f>IF(Table1[[#This Row],[Attrition]]="Yes",Table1[[#This Row],[EstReplacementCost]],0)</f>
        <v>0</v>
      </c>
    </row>
    <row r="1256" spans="1:36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>
        <v>4507</v>
      </c>
      <c r="S1256">
        <v>8191</v>
      </c>
      <c r="T1256">
        <v>3</v>
      </c>
      <c r="U1256" t="s">
        <v>43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tr">
        <f>IF(Table1[[#This Row],[YearsAtCompany]]&lt;1,"0-1",IF(Table1[[#This Row],[YearsAtCompany]]&lt;=3,"1-3",IF(Table1[[#This Row],[YearsAtCompany]]&lt;=6,"4-6","7+")))</f>
        <v>4-6</v>
      </c>
      <c r="AH1256">
        <f>Table1[[#This Row],[MonthlyIncome]]*12*0.75</f>
        <v>40563</v>
      </c>
      <c r="AI12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56">
        <f>IF(Table1[[#This Row],[Attrition]]="Yes",Table1[[#This Row],[EstReplacementCost]],0)</f>
        <v>0</v>
      </c>
    </row>
    <row r="1257" spans="1:36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>
        <v>8564</v>
      </c>
      <c r="S1257">
        <v>10092</v>
      </c>
      <c r="T1257">
        <v>2</v>
      </c>
      <c r="U1257" t="s">
        <v>35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tr">
        <f>IF(Table1[[#This Row],[YearsAtCompany]]&lt;1,"0-1",IF(Table1[[#This Row],[YearsAtCompany]]&lt;=3,"1-3",IF(Table1[[#This Row],[YearsAtCompany]]&lt;=6,"4-6","7+")))</f>
        <v>0-1</v>
      </c>
      <c r="AH1257">
        <f>Table1[[#This Row],[MonthlyIncome]]*12*0.75</f>
        <v>77076</v>
      </c>
      <c r="AI12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257">
        <f>IF(Table1[[#This Row],[Attrition]]="Yes",Table1[[#This Row],[EstReplacementCost]],0)</f>
        <v>77076</v>
      </c>
    </row>
    <row r="1258" spans="1:36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50</v>
      </c>
      <c r="P1258">
        <v>2</v>
      </c>
      <c r="Q1258" t="s">
        <v>48</v>
      </c>
      <c r="R1258">
        <v>2468</v>
      </c>
      <c r="S1258">
        <v>15963</v>
      </c>
      <c r="T1258">
        <v>4</v>
      </c>
      <c r="U1258" t="s">
        <v>43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tr">
        <f>IF(Table1[[#This Row],[YearsAtCompany]]&lt;1,"0-1",IF(Table1[[#This Row],[YearsAtCompany]]&lt;=3,"1-3",IF(Table1[[#This Row],[YearsAtCompany]]&lt;=6,"4-6","7+")))</f>
        <v>4-6</v>
      </c>
      <c r="AH1258">
        <f>Table1[[#This Row],[MonthlyIncome]]*12*0.75</f>
        <v>22212</v>
      </c>
      <c r="AI12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58">
        <f>IF(Table1[[#This Row],[Attrition]]="Yes",Table1[[#This Row],[EstReplacementCost]],0)</f>
        <v>0</v>
      </c>
    </row>
    <row r="1259" spans="1:36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48</v>
      </c>
      <c r="R1259">
        <v>8161</v>
      </c>
      <c r="S1259">
        <v>19002</v>
      </c>
      <c r="T1259">
        <v>2</v>
      </c>
      <c r="U1259" t="s">
        <v>43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tr">
        <f>IF(Table1[[#This Row],[YearsAtCompany]]&lt;1,"0-1",IF(Table1[[#This Row],[YearsAtCompany]]&lt;=3,"1-3",IF(Table1[[#This Row],[YearsAtCompany]]&lt;=6,"4-6","7+")))</f>
        <v>1-3</v>
      </c>
      <c r="AH1259">
        <f>Table1[[#This Row],[MonthlyIncome]]*12*0.75</f>
        <v>73449</v>
      </c>
      <c r="AI12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59">
        <f>IF(Table1[[#This Row],[Attrition]]="Yes",Table1[[#This Row],[EstReplacementCost]],0)</f>
        <v>73449</v>
      </c>
    </row>
    <row r="1260" spans="1:36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47</v>
      </c>
      <c r="P1260">
        <v>1</v>
      </c>
      <c r="Q1260" t="s">
        <v>52</v>
      </c>
      <c r="R1260">
        <v>2109</v>
      </c>
      <c r="S1260">
        <v>10007</v>
      </c>
      <c r="T1260">
        <v>1</v>
      </c>
      <c r="U1260" t="s">
        <v>43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tr">
        <f>IF(Table1[[#This Row],[YearsAtCompany]]&lt;1,"0-1",IF(Table1[[#This Row],[YearsAtCompany]]&lt;=3,"1-3",IF(Table1[[#This Row],[YearsAtCompany]]&lt;=6,"4-6","7+")))</f>
        <v>1-3</v>
      </c>
      <c r="AH1260">
        <f>Table1[[#This Row],[MonthlyIncome]]*12*0.75</f>
        <v>18981</v>
      </c>
      <c r="AI12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60">
        <f>IF(Table1[[#This Row],[Attrition]]="Yes",Table1[[#This Row],[EstReplacementCost]],0)</f>
        <v>0</v>
      </c>
    </row>
    <row r="1261" spans="1:36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54</v>
      </c>
      <c r="P1261">
        <v>3</v>
      </c>
      <c r="Q1261" t="s">
        <v>48</v>
      </c>
      <c r="R1261">
        <v>5294</v>
      </c>
      <c r="S1261">
        <v>9128</v>
      </c>
      <c r="T1261">
        <v>3</v>
      </c>
      <c r="U1261" t="s">
        <v>43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tr">
        <f>IF(Table1[[#This Row],[YearsAtCompany]]&lt;1,"0-1",IF(Table1[[#This Row],[YearsAtCompany]]&lt;=3,"1-3",IF(Table1[[#This Row],[YearsAtCompany]]&lt;=6,"4-6","7+")))</f>
        <v>7+</v>
      </c>
      <c r="AH1261">
        <f>Table1[[#This Row],[MonthlyIncome]]*12*0.75</f>
        <v>47646</v>
      </c>
      <c r="AI12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61">
        <f>IF(Table1[[#This Row],[Attrition]]="Yes",Table1[[#This Row],[EstReplacementCost]],0)</f>
        <v>0</v>
      </c>
    </row>
    <row r="1262" spans="1:36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47</v>
      </c>
      <c r="P1262">
        <v>2</v>
      </c>
      <c r="Q1262" t="s">
        <v>41</v>
      </c>
      <c r="R1262">
        <v>2718</v>
      </c>
      <c r="S1262">
        <v>17674</v>
      </c>
      <c r="T1262">
        <v>2</v>
      </c>
      <c r="U1262" t="s">
        <v>43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tr">
        <f>IF(Table1[[#This Row],[YearsAtCompany]]&lt;1,"0-1",IF(Table1[[#This Row],[YearsAtCompany]]&lt;=3,"1-3",IF(Table1[[#This Row],[YearsAtCompany]]&lt;=6,"4-6","7+")))</f>
        <v>7+</v>
      </c>
      <c r="AH1262">
        <f>Table1[[#This Row],[MonthlyIncome]]*12*0.75</f>
        <v>24462</v>
      </c>
      <c r="AI12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62">
        <f>IF(Table1[[#This Row],[Attrition]]="Yes",Table1[[#This Row],[EstReplacementCost]],0)</f>
        <v>0</v>
      </c>
    </row>
    <row r="1263" spans="1:36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54</v>
      </c>
      <c r="P1263">
        <v>4</v>
      </c>
      <c r="Q1263" t="s">
        <v>48</v>
      </c>
      <c r="R1263">
        <v>5811</v>
      </c>
      <c r="S1263">
        <v>24539</v>
      </c>
      <c r="T1263">
        <v>3</v>
      </c>
      <c r="U1263" t="s">
        <v>35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tr">
        <f>IF(Table1[[#This Row],[YearsAtCompany]]&lt;1,"0-1",IF(Table1[[#This Row],[YearsAtCompany]]&lt;=3,"1-3",IF(Table1[[#This Row],[YearsAtCompany]]&lt;=6,"4-6","7+")))</f>
        <v>1-3</v>
      </c>
      <c r="AH1263">
        <f>Table1[[#This Row],[MonthlyIncome]]*12*0.75</f>
        <v>52299</v>
      </c>
      <c r="AI12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63">
        <f>IF(Table1[[#This Row],[Attrition]]="Yes",Table1[[#This Row],[EstReplacementCost]],0)</f>
        <v>0</v>
      </c>
    </row>
    <row r="1264" spans="1:36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47</v>
      </c>
      <c r="P1264">
        <v>3</v>
      </c>
      <c r="Q1264" t="s">
        <v>48</v>
      </c>
      <c r="R1264">
        <v>2437</v>
      </c>
      <c r="S1264">
        <v>15587</v>
      </c>
      <c r="T1264">
        <v>9</v>
      </c>
      <c r="U1264" t="s">
        <v>35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tr">
        <f>IF(Table1[[#This Row],[YearsAtCompany]]&lt;1,"0-1",IF(Table1[[#This Row],[YearsAtCompany]]&lt;=3,"1-3",IF(Table1[[#This Row],[YearsAtCompany]]&lt;=6,"4-6","7+")))</f>
        <v>1-3</v>
      </c>
      <c r="AH1264">
        <f>Table1[[#This Row],[MonthlyIncome]]*12*0.75</f>
        <v>21933</v>
      </c>
      <c r="AI12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64">
        <f>IF(Table1[[#This Row],[Attrition]]="Yes",Table1[[#This Row],[EstReplacementCost]],0)</f>
        <v>21933</v>
      </c>
    </row>
    <row r="1265" spans="1:36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50</v>
      </c>
      <c r="P1265">
        <v>2</v>
      </c>
      <c r="Q1265" t="s">
        <v>52</v>
      </c>
      <c r="R1265">
        <v>2766</v>
      </c>
      <c r="S1265">
        <v>8952</v>
      </c>
      <c r="T1265">
        <v>8</v>
      </c>
      <c r="U1265" t="s">
        <v>43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tr">
        <f>IF(Table1[[#This Row],[YearsAtCompany]]&lt;1,"0-1",IF(Table1[[#This Row],[YearsAtCompany]]&lt;=3,"1-3",IF(Table1[[#This Row],[YearsAtCompany]]&lt;=6,"4-6","7+")))</f>
        <v>4-6</v>
      </c>
      <c r="AH1265">
        <f>Table1[[#This Row],[MonthlyIncome]]*12*0.75</f>
        <v>24894</v>
      </c>
      <c r="AI12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65">
        <f>IF(Table1[[#This Row],[Attrition]]="Yes",Table1[[#This Row],[EstReplacementCost]],0)</f>
        <v>0</v>
      </c>
    </row>
    <row r="1266" spans="1:36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58</v>
      </c>
      <c r="P1266">
        <v>1</v>
      </c>
      <c r="Q1266" t="s">
        <v>48</v>
      </c>
      <c r="R1266">
        <v>19038</v>
      </c>
      <c r="S1266">
        <v>19805</v>
      </c>
      <c r="T1266">
        <v>8</v>
      </c>
      <c r="U1266" t="s">
        <v>43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tr">
        <f>IF(Table1[[#This Row],[YearsAtCompany]]&lt;1,"0-1",IF(Table1[[#This Row],[YearsAtCompany]]&lt;=3,"1-3",IF(Table1[[#This Row],[YearsAtCompany]]&lt;=6,"4-6","7+")))</f>
        <v>1-3</v>
      </c>
      <c r="AH1266">
        <f>Table1[[#This Row],[MonthlyIncome]]*12*0.75</f>
        <v>171342</v>
      </c>
      <c r="AI12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66">
        <f>IF(Table1[[#This Row],[Attrition]]="Yes",Table1[[#This Row],[EstReplacementCost]],0)</f>
        <v>0</v>
      </c>
    </row>
    <row r="1267" spans="1:36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47</v>
      </c>
      <c r="P1267">
        <v>2</v>
      </c>
      <c r="Q1267" t="s">
        <v>52</v>
      </c>
      <c r="R1267">
        <v>3055</v>
      </c>
      <c r="S1267">
        <v>6194</v>
      </c>
      <c r="T1267">
        <v>5</v>
      </c>
      <c r="U1267" t="s">
        <v>43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tr">
        <f>IF(Table1[[#This Row],[YearsAtCompany]]&lt;1,"0-1",IF(Table1[[#This Row],[YearsAtCompany]]&lt;=3,"1-3",IF(Table1[[#This Row],[YearsAtCompany]]&lt;=6,"4-6","7+")))</f>
        <v>7+</v>
      </c>
      <c r="AH1267">
        <f>Table1[[#This Row],[MonthlyIncome]]*12*0.75</f>
        <v>27495</v>
      </c>
      <c r="AI12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67">
        <f>IF(Table1[[#This Row],[Attrition]]="Yes",Table1[[#This Row],[EstReplacementCost]],0)</f>
        <v>0</v>
      </c>
    </row>
    <row r="1268" spans="1:36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50</v>
      </c>
      <c r="P1268">
        <v>1</v>
      </c>
      <c r="Q1268" t="s">
        <v>52</v>
      </c>
      <c r="R1268">
        <v>2289</v>
      </c>
      <c r="S1268">
        <v>20520</v>
      </c>
      <c r="T1268">
        <v>1</v>
      </c>
      <c r="U1268" t="s">
        <v>43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tr">
        <f>IF(Table1[[#This Row],[YearsAtCompany]]&lt;1,"0-1",IF(Table1[[#This Row],[YearsAtCompany]]&lt;=3,"1-3",IF(Table1[[#This Row],[YearsAtCompany]]&lt;=6,"4-6","7+")))</f>
        <v>4-6</v>
      </c>
      <c r="AH1268">
        <f>Table1[[#This Row],[MonthlyIncome]]*12*0.75</f>
        <v>20601</v>
      </c>
      <c r="AI12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68">
        <f>IF(Table1[[#This Row],[Attrition]]="Yes",Table1[[#This Row],[EstReplacementCost]],0)</f>
        <v>0</v>
      </c>
    </row>
    <row r="1269" spans="1:36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52</v>
      </c>
      <c r="R1269">
        <v>4001</v>
      </c>
      <c r="S1269">
        <v>12313</v>
      </c>
      <c r="T1269">
        <v>1</v>
      </c>
      <c r="U1269" t="s">
        <v>35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tr">
        <f>IF(Table1[[#This Row],[YearsAtCompany]]&lt;1,"0-1",IF(Table1[[#This Row],[YearsAtCompany]]&lt;=3,"1-3",IF(Table1[[#This Row],[YearsAtCompany]]&lt;=6,"4-6","7+")))</f>
        <v>7+</v>
      </c>
      <c r="AH1269">
        <f>Table1[[#This Row],[MonthlyIncome]]*12*0.75</f>
        <v>36009</v>
      </c>
      <c r="AI12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69">
        <f>IF(Table1[[#This Row],[Attrition]]="Yes",Table1[[#This Row],[EstReplacementCost]],0)</f>
        <v>0</v>
      </c>
    </row>
    <row r="1270" spans="1:36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53</v>
      </c>
      <c r="P1270">
        <v>3</v>
      </c>
      <c r="Q1270" t="s">
        <v>48</v>
      </c>
      <c r="R1270">
        <v>12965</v>
      </c>
      <c r="S1270">
        <v>22308</v>
      </c>
      <c r="T1270">
        <v>4</v>
      </c>
      <c r="U1270" t="s">
        <v>35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tr">
        <f>IF(Table1[[#This Row],[YearsAtCompany]]&lt;1,"0-1",IF(Table1[[#This Row],[YearsAtCompany]]&lt;=3,"1-3",IF(Table1[[#This Row],[YearsAtCompany]]&lt;=6,"4-6","7+")))</f>
        <v>1-3</v>
      </c>
      <c r="AH1270">
        <f>Table1[[#This Row],[MonthlyIncome]]*12*0.75</f>
        <v>116685</v>
      </c>
      <c r="AI12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70">
        <f>IF(Table1[[#This Row],[Attrition]]="Yes",Table1[[#This Row],[EstReplacementCost]],0)</f>
        <v>0</v>
      </c>
    </row>
    <row r="1271" spans="1:36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61</v>
      </c>
      <c r="P1271">
        <v>4</v>
      </c>
      <c r="Q1271" t="s">
        <v>41</v>
      </c>
      <c r="R1271">
        <v>3539</v>
      </c>
      <c r="S1271">
        <v>5033</v>
      </c>
      <c r="T1271">
        <v>0</v>
      </c>
      <c r="U1271" t="s">
        <v>43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tr">
        <f>IF(Table1[[#This Row],[YearsAtCompany]]&lt;1,"0-1",IF(Table1[[#This Row],[YearsAtCompany]]&lt;=3,"1-3",IF(Table1[[#This Row],[YearsAtCompany]]&lt;=6,"4-6","7+")))</f>
        <v>7+</v>
      </c>
      <c r="AH1271">
        <f>Table1[[#This Row],[MonthlyIncome]]*12*0.75</f>
        <v>31851</v>
      </c>
      <c r="AI12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71">
        <f>IF(Table1[[#This Row],[Attrition]]="Yes",Table1[[#This Row],[EstReplacementCost]],0)</f>
        <v>0</v>
      </c>
    </row>
    <row r="1272" spans="1:36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>
        <v>6029</v>
      </c>
      <c r="S1272">
        <v>25353</v>
      </c>
      <c r="T1272">
        <v>5</v>
      </c>
      <c r="U1272" t="s">
        <v>43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tr">
        <f>IF(Table1[[#This Row],[YearsAtCompany]]&lt;1,"0-1",IF(Table1[[#This Row],[YearsAtCompany]]&lt;=3,"1-3",IF(Table1[[#This Row],[YearsAtCompany]]&lt;=6,"4-6","7+")))</f>
        <v>1-3</v>
      </c>
      <c r="AH1272">
        <f>Table1[[#This Row],[MonthlyIncome]]*12*0.75</f>
        <v>54261</v>
      </c>
      <c r="AI12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72">
        <f>IF(Table1[[#This Row],[Attrition]]="Yes",Table1[[#This Row],[EstReplacementCost]],0)</f>
        <v>0</v>
      </c>
    </row>
    <row r="1273" spans="1:36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57</v>
      </c>
      <c r="P1273">
        <v>2</v>
      </c>
      <c r="Q1273" t="s">
        <v>41</v>
      </c>
      <c r="R1273">
        <v>2679</v>
      </c>
      <c r="S1273">
        <v>4567</v>
      </c>
      <c r="T1273">
        <v>1</v>
      </c>
      <c r="U1273" t="s">
        <v>43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tr">
        <f>IF(Table1[[#This Row],[YearsAtCompany]]&lt;1,"0-1",IF(Table1[[#This Row],[YearsAtCompany]]&lt;=3,"1-3",IF(Table1[[#This Row],[YearsAtCompany]]&lt;=6,"4-6","7+")))</f>
        <v>1-3</v>
      </c>
      <c r="AH1273">
        <f>Table1[[#This Row],[MonthlyIncome]]*12*0.75</f>
        <v>24111</v>
      </c>
      <c r="AI12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73">
        <f>IF(Table1[[#This Row],[Attrition]]="Yes",Table1[[#This Row],[EstReplacementCost]],0)</f>
        <v>24111</v>
      </c>
    </row>
    <row r="1274" spans="1:36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50</v>
      </c>
      <c r="P1274">
        <v>3</v>
      </c>
      <c r="Q1274" t="s">
        <v>48</v>
      </c>
      <c r="R1274">
        <v>3702</v>
      </c>
      <c r="S1274">
        <v>16376</v>
      </c>
      <c r="T1274">
        <v>1</v>
      </c>
      <c r="U1274" t="s">
        <v>43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tr">
        <f>IF(Table1[[#This Row],[YearsAtCompany]]&lt;1,"0-1",IF(Table1[[#This Row],[YearsAtCompany]]&lt;=3,"1-3",IF(Table1[[#This Row],[YearsAtCompany]]&lt;=6,"4-6","7+")))</f>
        <v>4-6</v>
      </c>
      <c r="AH1274">
        <f>Table1[[#This Row],[MonthlyIncome]]*12*0.75</f>
        <v>33318</v>
      </c>
      <c r="AI12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74">
        <f>IF(Table1[[#This Row],[Attrition]]="Yes",Table1[[#This Row],[EstReplacementCost]],0)</f>
        <v>0</v>
      </c>
    </row>
    <row r="1275" spans="1:36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50</v>
      </c>
      <c r="P1275">
        <v>1</v>
      </c>
      <c r="Q1275" t="s">
        <v>48</v>
      </c>
      <c r="R1275">
        <v>2398</v>
      </c>
      <c r="S1275">
        <v>15999</v>
      </c>
      <c r="T1275">
        <v>1</v>
      </c>
      <c r="U1275" t="s">
        <v>35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tr">
        <f>IF(Table1[[#This Row],[YearsAtCompany]]&lt;1,"0-1",IF(Table1[[#This Row],[YearsAtCompany]]&lt;=3,"1-3",IF(Table1[[#This Row],[YearsAtCompany]]&lt;=6,"4-6","7+")))</f>
        <v>1-3</v>
      </c>
      <c r="AH1275">
        <f>Table1[[#This Row],[MonthlyIncome]]*12*0.75</f>
        <v>21582</v>
      </c>
      <c r="AI12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275">
        <f>IF(Table1[[#This Row],[Attrition]]="Yes",Table1[[#This Row],[EstReplacementCost]],0)</f>
        <v>21582</v>
      </c>
    </row>
    <row r="1276" spans="1:36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48</v>
      </c>
      <c r="R1276">
        <v>5468</v>
      </c>
      <c r="S1276">
        <v>13402</v>
      </c>
      <c r="T1276">
        <v>1</v>
      </c>
      <c r="U1276" t="s">
        <v>43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tr">
        <f>IF(Table1[[#This Row],[YearsAtCompany]]&lt;1,"0-1",IF(Table1[[#This Row],[YearsAtCompany]]&lt;=3,"1-3",IF(Table1[[#This Row],[YearsAtCompany]]&lt;=6,"4-6","7+")))</f>
        <v>7+</v>
      </c>
      <c r="AH1276">
        <f>Table1[[#This Row],[MonthlyIncome]]*12*0.75</f>
        <v>49212</v>
      </c>
      <c r="AI12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76">
        <f>IF(Table1[[#This Row],[Attrition]]="Yes",Table1[[#This Row],[EstReplacementCost]],0)</f>
        <v>0</v>
      </c>
    </row>
    <row r="1277" spans="1:36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56</v>
      </c>
      <c r="P1277">
        <v>3</v>
      </c>
      <c r="Q1277" t="s">
        <v>48</v>
      </c>
      <c r="R1277">
        <v>13116</v>
      </c>
      <c r="S1277">
        <v>22984</v>
      </c>
      <c r="T1277">
        <v>2</v>
      </c>
      <c r="U1277" t="s">
        <v>43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tr">
        <f>IF(Table1[[#This Row],[YearsAtCompany]]&lt;1,"0-1",IF(Table1[[#This Row],[YearsAtCompany]]&lt;=3,"1-3",IF(Table1[[#This Row],[YearsAtCompany]]&lt;=6,"4-6","7+")))</f>
        <v>1-3</v>
      </c>
      <c r="AH1277">
        <f>Table1[[#This Row],[MonthlyIncome]]*12*0.75</f>
        <v>118044</v>
      </c>
      <c r="AI12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77">
        <f>IF(Table1[[#This Row],[Attrition]]="Yes",Table1[[#This Row],[EstReplacementCost]],0)</f>
        <v>0</v>
      </c>
    </row>
    <row r="1278" spans="1:36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48</v>
      </c>
      <c r="R1278">
        <v>4189</v>
      </c>
      <c r="S1278">
        <v>8800</v>
      </c>
      <c r="T1278">
        <v>1</v>
      </c>
      <c r="U1278" t="s">
        <v>43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tr">
        <f>IF(Table1[[#This Row],[YearsAtCompany]]&lt;1,"0-1",IF(Table1[[#This Row],[YearsAtCompany]]&lt;=3,"1-3",IF(Table1[[#This Row],[YearsAtCompany]]&lt;=6,"4-6","7+")))</f>
        <v>4-6</v>
      </c>
      <c r="AH1278">
        <f>Table1[[#This Row],[MonthlyIncome]]*12*0.75</f>
        <v>37701</v>
      </c>
      <c r="AI12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78">
        <f>IF(Table1[[#This Row],[Attrition]]="Yes",Table1[[#This Row],[EstReplacementCost]],0)</f>
        <v>0</v>
      </c>
    </row>
    <row r="1279" spans="1:36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58</v>
      </c>
      <c r="P1279">
        <v>4</v>
      </c>
      <c r="Q1279" t="s">
        <v>52</v>
      </c>
      <c r="R1279">
        <v>19328</v>
      </c>
      <c r="S1279">
        <v>14218</v>
      </c>
      <c r="T1279">
        <v>7</v>
      </c>
      <c r="U1279" t="s">
        <v>35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tr">
        <f>IF(Table1[[#This Row],[YearsAtCompany]]&lt;1,"0-1",IF(Table1[[#This Row],[YearsAtCompany]]&lt;=3,"1-3",IF(Table1[[#This Row],[YearsAtCompany]]&lt;=6,"4-6","7+")))</f>
        <v>1-3</v>
      </c>
      <c r="AH1279">
        <f>Table1[[#This Row],[MonthlyIncome]]*12*0.75</f>
        <v>173952</v>
      </c>
      <c r="AI12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79">
        <f>IF(Table1[[#This Row],[Attrition]]="Yes",Table1[[#This Row],[EstReplacementCost]],0)</f>
        <v>0</v>
      </c>
    </row>
    <row r="1280" spans="1:36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54</v>
      </c>
      <c r="P1280">
        <v>1</v>
      </c>
      <c r="Q1280" t="s">
        <v>48</v>
      </c>
      <c r="R1280">
        <v>8321</v>
      </c>
      <c r="S1280">
        <v>25949</v>
      </c>
      <c r="T1280">
        <v>7</v>
      </c>
      <c r="U1280" t="s">
        <v>35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tr">
        <f>IF(Table1[[#This Row],[YearsAtCompany]]&lt;1,"0-1",IF(Table1[[#This Row],[YearsAtCompany]]&lt;=3,"1-3",IF(Table1[[#This Row],[YearsAtCompany]]&lt;=6,"4-6","7+")))</f>
        <v>7+</v>
      </c>
      <c r="AH1280">
        <f>Table1[[#This Row],[MonthlyIncome]]*12*0.75</f>
        <v>74889</v>
      </c>
      <c r="AI12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80">
        <f>IF(Table1[[#This Row],[Attrition]]="Yes",Table1[[#This Row],[EstReplacementCost]],0)</f>
        <v>0</v>
      </c>
    </row>
    <row r="1281" spans="1:36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47</v>
      </c>
      <c r="P1281">
        <v>2</v>
      </c>
      <c r="Q1281" t="s">
        <v>52</v>
      </c>
      <c r="R1281">
        <v>2342</v>
      </c>
      <c r="S1281">
        <v>11092</v>
      </c>
      <c r="T1281">
        <v>1</v>
      </c>
      <c r="U1281" t="s">
        <v>35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tr">
        <f>IF(Table1[[#This Row],[YearsAtCompany]]&lt;1,"0-1",IF(Table1[[#This Row],[YearsAtCompany]]&lt;=3,"1-3",IF(Table1[[#This Row],[YearsAtCompany]]&lt;=6,"4-6","7+")))</f>
        <v>4-6</v>
      </c>
      <c r="AH1281">
        <f>Table1[[#This Row],[MonthlyIncome]]*12*0.75</f>
        <v>21078</v>
      </c>
      <c r="AI12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81">
        <f>IF(Table1[[#This Row],[Attrition]]="Yes",Table1[[#This Row],[EstReplacementCost]],0)</f>
        <v>21078</v>
      </c>
    </row>
    <row r="1282" spans="1:36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61</v>
      </c>
      <c r="P1282">
        <v>2</v>
      </c>
      <c r="Q1282" t="s">
        <v>52</v>
      </c>
      <c r="R1282">
        <v>4071</v>
      </c>
      <c r="S1282">
        <v>12832</v>
      </c>
      <c r="T1282">
        <v>2</v>
      </c>
      <c r="U1282" t="s">
        <v>43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tr">
        <f>IF(Table1[[#This Row],[YearsAtCompany]]&lt;1,"0-1",IF(Table1[[#This Row],[YearsAtCompany]]&lt;=3,"1-3",IF(Table1[[#This Row],[YearsAtCompany]]&lt;=6,"4-6","7+")))</f>
        <v>7+</v>
      </c>
      <c r="AH1282">
        <f>Table1[[#This Row],[MonthlyIncome]]*12*0.75</f>
        <v>36639</v>
      </c>
      <c r="AI12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82">
        <f>IF(Table1[[#This Row],[Attrition]]="Yes",Table1[[#This Row],[EstReplacementCost]],0)</f>
        <v>0</v>
      </c>
    </row>
    <row r="1283" spans="1:36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>
        <v>5813</v>
      </c>
      <c r="S1283">
        <v>13492</v>
      </c>
      <c r="T1283">
        <v>1</v>
      </c>
      <c r="U1283" t="s">
        <v>35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tr">
        <f>IF(Table1[[#This Row],[YearsAtCompany]]&lt;1,"0-1",IF(Table1[[#This Row],[YearsAtCompany]]&lt;=3,"1-3",IF(Table1[[#This Row],[YearsAtCompany]]&lt;=6,"4-6","7+")))</f>
        <v>7+</v>
      </c>
      <c r="AH1283">
        <f>Table1[[#This Row],[MonthlyIncome]]*12*0.75</f>
        <v>52317</v>
      </c>
      <c r="AI12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83">
        <f>IF(Table1[[#This Row],[Attrition]]="Yes",Table1[[#This Row],[EstReplacementCost]],0)</f>
        <v>52317</v>
      </c>
    </row>
    <row r="1284" spans="1:36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47</v>
      </c>
      <c r="P1284">
        <v>1</v>
      </c>
      <c r="Q1284" t="s">
        <v>48</v>
      </c>
      <c r="R1284">
        <v>3143</v>
      </c>
      <c r="S1284">
        <v>6076</v>
      </c>
      <c r="T1284">
        <v>6</v>
      </c>
      <c r="U1284" t="s">
        <v>43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tr">
        <f>IF(Table1[[#This Row],[YearsAtCompany]]&lt;1,"0-1",IF(Table1[[#This Row],[YearsAtCompany]]&lt;=3,"1-3",IF(Table1[[#This Row],[YearsAtCompany]]&lt;=6,"4-6","7+")))</f>
        <v>7+</v>
      </c>
      <c r="AH1284">
        <f>Table1[[#This Row],[MonthlyIncome]]*12*0.75</f>
        <v>28287</v>
      </c>
      <c r="AI12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84">
        <f>IF(Table1[[#This Row],[Attrition]]="Yes",Table1[[#This Row],[EstReplacementCost]],0)</f>
        <v>0</v>
      </c>
    </row>
    <row r="1285" spans="1:36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47</v>
      </c>
      <c r="P1285">
        <v>4</v>
      </c>
      <c r="Q1285" t="s">
        <v>48</v>
      </c>
      <c r="R1285">
        <v>2044</v>
      </c>
      <c r="S1285">
        <v>5531</v>
      </c>
      <c r="T1285">
        <v>1</v>
      </c>
      <c r="U1285" t="s">
        <v>43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tr">
        <f>IF(Table1[[#This Row],[YearsAtCompany]]&lt;1,"0-1",IF(Table1[[#This Row],[YearsAtCompany]]&lt;=3,"1-3",IF(Table1[[#This Row],[YearsAtCompany]]&lt;=6,"4-6","7+")))</f>
        <v>4-6</v>
      </c>
      <c r="AH1285">
        <f>Table1[[#This Row],[MonthlyIncome]]*12*0.75</f>
        <v>18396</v>
      </c>
      <c r="AI12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85">
        <f>IF(Table1[[#This Row],[Attrition]]="Yes",Table1[[#This Row],[EstReplacementCost]],0)</f>
        <v>0</v>
      </c>
    </row>
    <row r="1286" spans="1:36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58</v>
      </c>
      <c r="P1286">
        <v>3</v>
      </c>
      <c r="Q1286" t="s">
        <v>41</v>
      </c>
      <c r="R1286">
        <v>13464</v>
      </c>
      <c r="S1286">
        <v>7914</v>
      </c>
      <c r="T1286">
        <v>7</v>
      </c>
      <c r="U1286" t="s">
        <v>43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tr">
        <f>IF(Table1[[#This Row],[YearsAtCompany]]&lt;1,"0-1",IF(Table1[[#This Row],[YearsAtCompany]]&lt;=3,"1-3",IF(Table1[[#This Row],[YearsAtCompany]]&lt;=6,"4-6","7+")))</f>
        <v>4-6</v>
      </c>
      <c r="AH1286">
        <f>Table1[[#This Row],[MonthlyIncome]]*12*0.75</f>
        <v>121176</v>
      </c>
      <c r="AI12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86">
        <f>IF(Table1[[#This Row],[Attrition]]="Yes",Table1[[#This Row],[EstReplacementCost]],0)</f>
        <v>0</v>
      </c>
    </row>
    <row r="1287" spans="1:36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>
        <v>7991</v>
      </c>
      <c r="S1287">
        <v>25166</v>
      </c>
      <c r="T1287">
        <v>8</v>
      </c>
      <c r="U1287" t="s">
        <v>43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tr">
        <f>IF(Table1[[#This Row],[YearsAtCompany]]&lt;1,"0-1",IF(Table1[[#This Row],[YearsAtCompany]]&lt;=3,"1-3",IF(Table1[[#This Row],[YearsAtCompany]]&lt;=6,"4-6","7+")))</f>
        <v>1-3</v>
      </c>
      <c r="AH1287">
        <f>Table1[[#This Row],[MonthlyIncome]]*12*0.75</f>
        <v>71919</v>
      </c>
      <c r="AI12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87">
        <f>IF(Table1[[#This Row],[Attrition]]="Yes",Table1[[#This Row],[EstReplacementCost]],0)</f>
        <v>0</v>
      </c>
    </row>
    <row r="1288" spans="1:36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50</v>
      </c>
      <c r="P1288">
        <v>1</v>
      </c>
      <c r="Q1288" t="s">
        <v>48</v>
      </c>
      <c r="R1288">
        <v>3377</v>
      </c>
      <c r="S1288">
        <v>25605</v>
      </c>
      <c r="T1288">
        <v>4</v>
      </c>
      <c r="U1288" t="s">
        <v>43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tr">
        <f>IF(Table1[[#This Row],[YearsAtCompany]]&lt;1,"0-1",IF(Table1[[#This Row],[YearsAtCompany]]&lt;=3,"1-3",IF(Table1[[#This Row],[YearsAtCompany]]&lt;=6,"4-6","7+")))</f>
        <v>4-6</v>
      </c>
      <c r="AH1288">
        <f>Table1[[#This Row],[MonthlyIncome]]*12*0.75</f>
        <v>30393</v>
      </c>
      <c r="AI12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88">
        <f>IF(Table1[[#This Row],[Attrition]]="Yes",Table1[[#This Row],[EstReplacementCost]],0)</f>
        <v>0</v>
      </c>
    </row>
    <row r="1289" spans="1:36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54</v>
      </c>
      <c r="P1289">
        <v>1</v>
      </c>
      <c r="Q1289" t="s">
        <v>48</v>
      </c>
      <c r="R1289">
        <v>5538</v>
      </c>
      <c r="S1289">
        <v>5696</v>
      </c>
      <c r="T1289">
        <v>5</v>
      </c>
      <c r="U1289" t="s">
        <v>43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tr">
        <f>IF(Table1[[#This Row],[YearsAtCompany]]&lt;1,"0-1",IF(Table1[[#This Row],[YearsAtCompany]]&lt;=3,"1-3",IF(Table1[[#This Row],[YearsAtCompany]]&lt;=6,"4-6","7+")))</f>
        <v>0-1</v>
      </c>
      <c r="AH1289">
        <f>Table1[[#This Row],[MonthlyIncome]]*12*0.75</f>
        <v>49842</v>
      </c>
      <c r="AI12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89">
        <f>IF(Table1[[#This Row],[Attrition]]="Yes",Table1[[#This Row],[EstReplacementCost]],0)</f>
        <v>0</v>
      </c>
    </row>
    <row r="1290" spans="1:36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53</v>
      </c>
      <c r="P1290">
        <v>4</v>
      </c>
      <c r="Q1290" t="s">
        <v>52</v>
      </c>
      <c r="R1290">
        <v>5762</v>
      </c>
      <c r="S1290">
        <v>24442</v>
      </c>
      <c r="T1290">
        <v>2</v>
      </c>
      <c r="U1290" t="s">
        <v>43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tr">
        <f>IF(Table1[[#This Row],[YearsAtCompany]]&lt;1,"0-1",IF(Table1[[#This Row],[YearsAtCompany]]&lt;=3,"1-3",IF(Table1[[#This Row],[YearsAtCompany]]&lt;=6,"4-6","7+")))</f>
        <v>7+</v>
      </c>
      <c r="AH1290">
        <f>Table1[[#This Row],[MonthlyIncome]]*12*0.75</f>
        <v>51858</v>
      </c>
      <c r="AI12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90">
        <f>IF(Table1[[#This Row],[Attrition]]="Yes",Table1[[#This Row],[EstReplacementCost]],0)</f>
        <v>0</v>
      </c>
    </row>
    <row r="1291" spans="1:36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61</v>
      </c>
      <c r="P1291">
        <v>2</v>
      </c>
      <c r="Q1291" t="s">
        <v>52</v>
      </c>
      <c r="R1291">
        <v>2592</v>
      </c>
      <c r="S1291">
        <v>7129</v>
      </c>
      <c r="T1291">
        <v>5</v>
      </c>
      <c r="U1291" t="s">
        <v>43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tr">
        <f>IF(Table1[[#This Row],[YearsAtCompany]]&lt;1,"0-1",IF(Table1[[#This Row],[YearsAtCompany]]&lt;=3,"1-3",IF(Table1[[#This Row],[YearsAtCompany]]&lt;=6,"4-6","7+")))</f>
        <v>7+</v>
      </c>
      <c r="AH1291">
        <f>Table1[[#This Row],[MonthlyIncome]]*12*0.75</f>
        <v>23328</v>
      </c>
      <c r="AI12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91">
        <f>IF(Table1[[#This Row],[Attrition]]="Yes",Table1[[#This Row],[EstReplacementCost]],0)</f>
        <v>0</v>
      </c>
    </row>
    <row r="1292" spans="1:36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50</v>
      </c>
      <c r="P1292">
        <v>1</v>
      </c>
      <c r="Q1292" t="s">
        <v>48</v>
      </c>
      <c r="R1292">
        <v>5346</v>
      </c>
      <c r="S1292">
        <v>6208</v>
      </c>
      <c r="T1292">
        <v>4</v>
      </c>
      <c r="U1292" t="s">
        <v>43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tr">
        <f>IF(Table1[[#This Row],[YearsAtCompany]]&lt;1,"0-1",IF(Table1[[#This Row],[YearsAtCompany]]&lt;=3,"1-3",IF(Table1[[#This Row],[YearsAtCompany]]&lt;=6,"4-6","7+")))</f>
        <v>7+</v>
      </c>
      <c r="AH1292">
        <f>Table1[[#This Row],[MonthlyIncome]]*12*0.75</f>
        <v>48114</v>
      </c>
      <c r="AI12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92">
        <f>IF(Table1[[#This Row],[Attrition]]="Yes",Table1[[#This Row],[EstReplacementCost]],0)</f>
        <v>48114</v>
      </c>
    </row>
    <row r="1293" spans="1:36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53</v>
      </c>
      <c r="P1293">
        <v>1</v>
      </c>
      <c r="Q1293" t="s">
        <v>41</v>
      </c>
      <c r="R1293">
        <v>4213</v>
      </c>
      <c r="S1293">
        <v>4992</v>
      </c>
      <c r="T1293">
        <v>1</v>
      </c>
      <c r="U1293" t="s">
        <v>43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tr">
        <f>IF(Table1[[#This Row],[YearsAtCompany]]&lt;1,"0-1",IF(Table1[[#This Row],[YearsAtCompany]]&lt;=3,"1-3",IF(Table1[[#This Row],[YearsAtCompany]]&lt;=6,"4-6","7+")))</f>
        <v>7+</v>
      </c>
      <c r="AH1293">
        <f>Table1[[#This Row],[MonthlyIncome]]*12*0.75</f>
        <v>37917</v>
      </c>
      <c r="AI12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93">
        <f>IF(Table1[[#This Row],[Attrition]]="Yes",Table1[[#This Row],[EstReplacementCost]],0)</f>
        <v>37917</v>
      </c>
    </row>
    <row r="1294" spans="1:36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52</v>
      </c>
      <c r="R1294">
        <v>4127</v>
      </c>
      <c r="S1294">
        <v>19188</v>
      </c>
      <c r="T1294">
        <v>2</v>
      </c>
      <c r="U1294" t="s">
        <v>43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tr">
        <f>IF(Table1[[#This Row],[YearsAtCompany]]&lt;1,"0-1",IF(Table1[[#This Row],[YearsAtCompany]]&lt;=3,"1-3",IF(Table1[[#This Row],[YearsAtCompany]]&lt;=6,"4-6","7+")))</f>
        <v>1-3</v>
      </c>
      <c r="AH1294">
        <f>Table1[[#This Row],[MonthlyIncome]]*12*0.75</f>
        <v>37143</v>
      </c>
      <c r="AI12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94">
        <f>IF(Table1[[#This Row],[Attrition]]="Yes",Table1[[#This Row],[EstReplacementCost]],0)</f>
        <v>0</v>
      </c>
    </row>
    <row r="1295" spans="1:36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47</v>
      </c>
      <c r="P1295">
        <v>3</v>
      </c>
      <c r="Q1295" t="s">
        <v>41</v>
      </c>
      <c r="R1295">
        <v>2438</v>
      </c>
      <c r="S1295">
        <v>24978</v>
      </c>
      <c r="T1295">
        <v>4</v>
      </c>
      <c r="U1295" t="s">
        <v>43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tr">
        <f>IF(Table1[[#This Row],[YearsAtCompany]]&lt;1,"0-1",IF(Table1[[#This Row],[YearsAtCompany]]&lt;=3,"1-3",IF(Table1[[#This Row],[YearsAtCompany]]&lt;=6,"4-6","7+")))</f>
        <v>1-3</v>
      </c>
      <c r="AH1295">
        <f>Table1[[#This Row],[MonthlyIncome]]*12*0.75</f>
        <v>21942</v>
      </c>
      <c r="AI12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95">
        <f>IF(Table1[[#This Row],[Attrition]]="Yes",Table1[[#This Row],[EstReplacementCost]],0)</f>
        <v>0</v>
      </c>
    </row>
    <row r="1296" spans="1:36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54</v>
      </c>
      <c r="P1296">
        <v>2</v>
      </c>
      <c r="Q1296" t="s">
        <v>41</v>
      </c>
      <c r="R1296">
        <v>6870</v>
      </c>
      <c r="S1296">
        <v>15530</v>
      </c>
      <c r="T1296">
        <v>3</v>
      </c>
      <c r="U1296" t="s">
        <v>43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tr">
        <f>IF(Table1[[#This Row],[YearsAtCompany]]&lt;1,"0-1",IF(Table1[[#This Row],[YearsAtCompany]]&lt;=3,"1-3",IF(Table1[[#This Row],[YearsAtCompany]]&lt;=6,"4-6","7+")))</f>
        <v>1-3</v>
      </c>
      <c r="AH1296">
        <f>Table1[[#This Row],[MonthlyIncome]]*12*0.75</f>
        <v>61830</v>
      </c>
      <c r="AI12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96">
        <f>IF(Table1[[#This Row],[Attrition]]="Yes",Table1[[#This Row],[EstReplacementCost]],0)</f>
        <v>0</v>
      </c>
    </row>
    <row r="1297" spans="1:36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52</v>
      </c>
      <c r="R1297">
        <v>10447</v>
      </c>
      <c r="S1297">
        <v>26458</v>
      </c>
      <c r="T1297">
        <v>0</v>
      </c>
      <c r="U1297" t="s">
        <v>35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tr">
        <f>IF(Table1[[#This Row],[YearsAtCompany]]&lt;1,"0-1",IF(Table1[[#This Row],[YearsAtCompany]]&lt;=3,"1-3",IF(Table1[[#This Row],[YearsAtCompany]]&lt;=6,"4-6","7+")))</f>
        <v>7+</v>
      </c>
      <c r="AH1297">
        <f>Table1[[#This Row],[MonthlyIncome]]*12*0.75</f>
        <v>94023</v>
      </c>
      <c r="AI12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97">
        <f>IF(Table1[[#This Row],[Attrition]]="Yes",Table1[[#This Row],[EstReplacementCost]],0)</f>
        <v>0</v>
      </c>
    </row>
    <row r="1298" spans="1:36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53</v>
      </c>
      <c r="P1298">
        <v>3</v>
      </c>
      <c r="Q1298" t="s">
        <v>41</v>
      </c>
      <c r="R1298">
        <v>9667</v>
      </c>
      <c r="S1298">
        <v>2739</v>
      </c>
      <c r="T1298">
        <v>9</v>
      </c>
      <c r="U1298" t="s">
        <v>43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tr">
        <f>IF(Table1[[#This Row],[YearsAtCompany]]&lt;1,"0-1",IF(Table1[[#This Row],[YearsAtCompany]]&lt;=3,"1-3",IF(Table1[[#This Row],[YearsAtCompany]]&lt;=6,"4-6","7+")))</f>
        <v>7+</v>
      </c>
      <c r="AH1298">
        <f>Table1[[#This Row],[MonthlyIncome]]*12*0.75</f>
        <v>87003</v>
      </c>
      <c r="AI12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298">
        <f>IF(Table1[[#This Row],[Attrition]]="Yes",Table1[[#This Row],[EstReplacementCost]],0)</f>
        <v>0</v>
      </c>
    </row>
    <row r="1299" spans="1:36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61</v>
      </c>
      <c r="P1299">
        <v>2</v>
      </c>
      <c r="Q1299" t="s">
        <v>48</v>
      </c>
      <c r="R1299">
        <v>2148</v>
      </c>
      <c r="S1299">
        <v>6889</v>
      </c>
      <c r="T1299">
        <v>0</v>
      </c>
      <c r="U1299" t="s">
        <v>35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tr">
        <f>IF(Table1[[#This Row],[YearsAtCompany]]&lt;1,"0-1",IF(Table1[[#This Row],[YearsAtCompany]]&lt;=3,"1-3",IF(Table1[[#This Row],[YearsAtCompany]]&lt;=6,"4-6","7+")))</f>
        <v>4-6</v>
      </c>
      <c r="AH1299">
        <f>Table1[[#This Row],[MonthlyIncome]]*12*0.75</f>
        <v>19332</v>
      </c>
      <c r="AI12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299">
        <f>IF(Table1[[#This Row],[Attrition]]="Yes",Table1[[#This Row],[EstReplacementCost]],0)</f>
        <v>19332</v>
      </c>
    </row>
    <row r="1300" spans="1:36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54</v>
      </c>
      <c r="P1300">
        <v>2</v>
      </c>
      <c r="Q1300" t="s">
        <v>48</v>
      </c>
      <c r="R1300">
        <v>8926</v>
      </c>
      <c r="S1300">
        <v>10842</v>
      </c>
      <c r="T1300">
        <v>4</v>
      </c>
      <c r="U1300" t="s">
        <v>43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tr">
        <f>IF(Table1[[#This Row],[YearsAtCompany]]&lt;1,"0-1",IF(Table1[[#This Row],[YearsAtCompany]]&lt;=3,"1-3",IF(Table1[[#This Row],[YearsAtCompany]]&lt;=6,"4-6","7+")))</f>
        <v>7+</v>
      </c>
      <c r="AH1300">
        <f>Table1[[#This Row],[MonthlyIncome]]*12*0.75</f>
        <v>80334</v>
      </c>
      <c r="AI13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00">
        <f>IF(Table1[[#This Row],[Attrition]]="Yes",Table1[[#This Row],[EstReplacementCost]],0)</f>
        <v>80334</v>
      </c>
    </row>
    <row r="1301" spans="1:36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54</v>
      </c>
      <c r="P1301">
        <v>4</v>
      </c>
      <c r="Q1301" t="s">
        <v>52</v>
      </c>
      <c r="R1301">
        <v>6513</v>
      </c>
      <c r="S1301">
        <v>9060</v>
      </c>
      <c r="T1301">
        <v>4</v>
      </c>
      <c r="U1301" t="s">
        <v>43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tr">
        <f>IF(Table1[[#This Row],[YearsAtCompany]]&lt;1,"0-1",IF(Table1[[#This Row],[YearsAtCompany]]&lt;=3,"1-3",IF(Table1[[#This Row],[YearsAtCompany]]&lt;=6,"4-6","7+")))</f>
        <v>4-6</v>
      </c>
      <c r="AH1301">
        <f>Table1[[#This Row],[MonthlyIncome]]*12*0.75</f>
        <v>58617</v>
      </c>
      <c r="AI13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01">
        <f>IF(Table1[[#This Row],[Attrition]]="Yes",Table1[[#This Row],[EstReplacementCost]],0)</f>
        <v>0</v>
      </c>
    </row>
    <row r="1302" spans="1:36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48</v>
      </c>
      <c r="R1302">
        <v>6799</v>
      </c>
      <c r="S1302">
        <v>22128</v>
      </c>
      <c r="T1302">
        <v>1</v>
      </c>
      <c r="U1302" t="s">
        <v>43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tr">
        <f>IF(Table1[[#This Row],[YearsAtCompany]]&lt;1,"0-1",IF(Table1[[#This Row],[YearsAtCompany]]&lt;=3,"1-3",IF(Table1[[#This Row],[YearsAtCompany]]&lt;=6,"4-6","7+")))</f>
        <v>7+</v>
      </c>
      <c r="AH1302">
        <f>Table1[[#This Row],[MonthlyIncome]]*12*0.75</f>
        <v>61191</v>
      </c>
      <c r="AI13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02">
        <f>IF(Table1[[#This Row],[Attrition]]="Yes",Table1[[#This Row],[EstReplacementCost]],0)</f>
        <v>0</v>
      </c>
    </row>
    <row r="1303" spans="1:36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56</v>
      </c>
      <c r="P1303">
        <v>2</v>
      </c>
      <c r="Q1303" t="s">
        <v>52</v>
      </c>
      <c r="R1303">
        <v>16291</v>
      </c>
      <c r="S1303">
        <v>22577</v>
      </c>
      <c r="T1303">
        <v>4</v>
      </c>
      <c r="U1303" t="s">
        <v>43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tr">
        <f>IF(Table1[[#This Row],[YearsAtCompany]]&lt;1,"0-1",IF(Table1[[#This Row],[YearsAtCompany]]&lt;=3,"1-3",IF(Table1[[#This Row],[YearsAtCompany]]&lt;=6,"4-6","7+")))</f>
        <v>7+</v>
      </c>
      <c r="AH1303">
        <f>Table1[[#This Row],[MonthlyIncome]]*12*0.75</f>
        <v>146619</v>
      </c>
      <c r="AI13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03">
        <f>IF(Table1[[#This Row],[Attrition]]="Yes",Table1[[#This Row],[EstReplacementCost]],0)</f>
        <v>0</v>
      </c>
    </row>
    <row r="1304" spans="1:36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50</v>
      </c>
      <c r="P1304">
        <v>3</v>
      </c>
      <c r="Q1304" t="s">
        <v>48</v>
      </c>
      <c r="R1304">
        <v>2705</v>
      </c>
      <c r="S1304">
        <v>9696</v>
      </c>
      <c r="T1304">
        <v>0</v>
      </c>
      <c r="U1304" t="s">
        <v>43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tr">
        <f>IF(Table1[[#This Row],[YearsAtCompany]]&lt;1,"0-1",IF(Table1[[#This Row],[YearsAtCompany]]&lt;=3,"1-3",IF(Table1[[#This Row],[YearsAtCompany]]&lt;=6,"4-6","7+")))</f>
        <v>4-6</v>
      </c>
      <c r="AH1304">
        <f>Table1[[#This Row],[MonthlyIncome]]*12*0.75</f>
        <v>24345</v>
      </c>
      <c r="AI13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04">
        <f>IF(Table1[[#This Row],[Attrition]]="Yes",Table1[[#This Row],[EstReplacementCost]],0)</f>
        <v>0</v>
      </c>
    </row>
    <row r="1305" spans="1:36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53</v>
      </c>
      <c r="P1305">
        <v>2</v>
      </c>
      <c r="Q1305" t="s">
        <v>52</v>
      </c>
      <c r="R1305">
        <v>10333</v>
      </c>
      <c r="S1305">
        <v>19271</v>
      </c>
      <c r="T1305">
        <v>8</v>
      </c>
      <c r="U1305" t="s">
        <v>35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tr">
        <f>IF(Table1[[#This Row],[YearsAtCompany]]&lt;1,"0-1",IF(Table1[[#This Row],[YearsAtCompany]]&lt;=3,"1-3",IF(Table1[[#This Row],[YearsAtCompany]]&lt;=6,"4-6","7+")))</f>
        <v>7+</v>
      </c>
      <c r="AH1305">
        <f>Table1[[#This Row],[MonthlyIncome]]*12*0.75</f>
        <v>92997</v>
      </c>
      <c r="AI13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05">
        <f>IF(Table1[[#This Row],[Attrition]]="Yes",Table1[[#This Row],[EstReplacementCost]],0)</f>
        <v>0</v>
      </c>
    </row>
    <row r="1306" spans="1:36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54</v>
      </c>
      <c r="P1306">
        <v>1</v>
      </c>
      <c r="Q1306" t="s">
        <v>52</v>
      </c>
      <c r="R1306">
        <v>4448</v>
      </c>
      <c r="S1306">
        <v>10748</v>
      </c>
      <c r="T1306">
        <v>2</v>
      </c>
      <c r="U1306" t="s">
        <v>43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tr">
        <f>IF(Table1[[#This Row],[YearsAtCompany]]&lt;1,"0-1",IF(Table1[[#This Row],[YearsAtCompany]]&lt;=3,"1-3",IF(Table1[[#This Row],[YearsAtCompany]]&lt;=6,"4-6","7+")))</f>
        <v>7+</v>
      </c>
      <c r="AH1306">
        <f>Table1[[#This Row],[MonthlyIncome]]*12*0.75</f>
        <v>40032</v>
      </c>
      <c r="AI13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06">
        <f>IF(Table1[[#This Row],[Attrition]]="Yes",Table1[[#This Row],[EstReplacementCost]],0)</f>
        <v>0</v>
      </c>
    </row>
    <row r="1307" spans="1:36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47</v>
      </c>
      <c r="P1307">
        <v>4</v>
      </c>
      <c r="Q1307" t="s">
        <v>48</v>
      </c>
      <c r="R1307">
        <v>6854</v>
      </c>
      <c r="S1307">
        <v>15696</v>
      </c>
      <c r="T1307">
        <v>4</v>
      </c>
      <c r="U1307" t="s">
        <v>43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tr">
        <f>IF(Table1[[#This Row],[YearsAtCompany]]&lt;1,"0-1",IF(Table1[[#This Row],[YearsAtCompany]]&lt;=3,"1-3",IF(Table1[[#This Row],[YearsAtCompany]]&lt;=6,"4-6","7+")))</f>
        <v>7+</v>
      </c>
      <c r="AH1307">
        <f>Table1[[#This Row],[MonthlyIncome]]*12*0.75</f>
        <v>61686</v>
      </c>
      <c r="AI13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07">
        <f>IF(Table1[[#This Row],[Attrition]]="Yes",Table1[[#This Row],[EstReplacementCost]],0)</f>
        <v>0</v>
      </c>
    </row>
    <row r="1308" spans="1:36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48</v>
      </c>
      <c r="R1308">
        <v>9637</v>
      </c>
      <c r="S1308">
        <v>8277</v>
      </c>
      <c r="T1308">
        <v>2</v>
      </c>
      <c r="U1308" t="s">
        <v>43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tr">
        <f>IF(Table1[[#This Row],[YearsAtCompany]]&lt;1,"0-1",IF(Table1[[#This Row],[YearsAtCompany]]&lt;=3,"1-3",IF(Table1[[#This Row],[YearsAtCompany]]&lt;=6,"4-6","7+")))</f>
        <v>1-3</v>
      </c>
      <c r="AH1308">
        <f>Table1[[#This Row],[MonthlyIncome]]*12*0.75</f>
        <v>86733</v>
      </c>
      <c r="AI13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08">
        <f>IF(Table1[[#This Row],[Attrition]]="Yes",Table1[[#This Row],[EstReplacementCost]],0)</f>
        <v>0</v>
      </c>
    </row>
    <row r="1309" spans="1:36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47</v>
      </c>
      <c r="P1309">
        <v>1</v>
      </c>
      <c r="Q1309" t="s">
        <v>48</v>
      </c>
      <c r="R1309">
        <v>3591</v>
      </c>
      <c r="S1309">
        <v>12719</v>
      </c>
      <c r="T1309">
        <v>1</v>
      </c>
      <c r="U1309" t="s">
        <v>43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tr">
        <f>IF(Table1[[#This Row],[YearsAtCompany]]&lt;1,"0-1",IF(Table1[[#This Row],[YearsAtCompany]]&lt;=3,"1-3",IF(Table1[[#This Row],[YearsAtCompany]]&lt;=6,"4-6","7+")))</f>
        <v>1-3</v>
      </c>
      <c r="AH1309">
        <f>Table1[[#This Row],[MonthlyIncome]]*12*0.75</f>
        <v>32319</v>
      </c>
      <c r="AI13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09">
        <f>IF(Table1[[#This Row],[Attrition]]="Yes",Table1[[#This Row],[EstReplacementCost]],0)</f>
        <v>0</v>
      </c>
    </row>
    <row r="1310" spans="1:36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57</v>
      </c>
      <c r="P1310">
        <v>4</v>
      </c>
      <c r="Q1310" t="s">
        <v>48</v>
      </c>
      <c r="R1310">
        <v>5405</v>
      </c>
      <c r="S1310">
        <v>4244</v>
      </c>
      <c r="T1310">
        <v>2</v>
      </c>
      <c r="U1310" t="s">
        <v>35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tr">
        <f>IF(Table1[[#This Row],[YearsAtCompany]]&lt;1,"0-1",IF(Table1[[#This Row],[YearsAtCompany]]&lt;=3,"1-3",IF(Table1[[#This Row],[YearsAtCompany]]&lt;=6,"4-6","7+")))</f>
        <v>4-6</v>
      </c>
      <c r="AH1310">
        <f>Table1[[#This Row],[MonthlyIncome]]*12*0.75</f>
        <v>48645</v>
      </c>
      <c r="AI13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10">
        <f>IF(Table1[[#This Row],[Attrition]]="Yes",Table1[[#This Row],[EstReplacementCost]],0)</f>
        <v>0</v>
      </c>
    </row>
    <row r="1311" spans="1:36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>
        <v>4684</v>
      </c>
      <c r="S1311">
        <v>9125</v>
      </c>
      <c r="T1311">
        <v>1</v>
      </c>
      <c r="U1311" t="s">
        <v>43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tr">
        <f>IF(Table1[[#This Row],[YearsAtCompany]]&lt;1,"0-1",IF(Table1[[#This Row],[YearsAtCompany]]&lt;=3,"1-3",IF(Table1[[#This Row],[YearsAtCompany]]&lt;=6,"4-6","7+")))</f>
        <v>4-6</v>
      </c>
      <c r="AH1311">
        <f>Table1[[#This Row],[MonthlyIncome]]*12*0.75</f>
        <v>42156</v>
      </c>
      <c r="AI13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11">
        <f>IF(Table1[[#This Row],[Attrition]]="Yes",Table1[[#This Row],[EstReplacementCost]],0)</f>
        <v>0</v>
      </c>
    </row>
    <row r="1312" spans="1:36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58</v>
      </c>
      <c r="P1312">
        <v>3</v>
      </c>
      <c r="Q1312" t="s">
        <v>48</v>
      </c>
      <c r="R1312">
        <v>15787</v>
      </c>
      <c r="S1312">
        <v>21624</v>
      </c>
      <c r="T1312">
        <v>2</v>
      </c>
      <c r="U1312" t="s">
        <v>35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tr">
        <f>IF(Table1[[#This Row],[YearsAtCompany]]&lt;1,"0-1",IF(Table1[[#This Row],[YearsAtCompany]]&lt;=3,"1-3",IF(Table1[[#This Row],[YearsAtCompany]]&lt;=6,"4-6","7+")))</f>
        <v>1-3</v>
      </c>
      <c r="AH1312">
        <f>Table1[[#This Row],[MonthlyIncome]]*12*0.75</f>
        <v>142083</v>
      </c>
      <c r="AI13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12">
        <f>IF(Table1[[#This Row],[Attrition]]="Yes",Table1[[#This Row],[EstReplacementCost]],0)</f>
        <v>0</v>
      </c>
    </row>
    <row r="1313" spans="1:36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47</v>
      </c>
      <c r="P1313">
        <v>3</v>
      </c>
      <c r="Q1313" t="s">
        <v>41</v>
      </c>
      <c r="R1313">
        <v>1514</v>
      </c>
      <c r="S1313">
        <v>8018</v>
      </c>
      <c r="T1313">
        <v>1</v>
      </c>
      <c r="U1313" t="s">
        <v>43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tr">
        <f>IF(Table1[[#This Row],[YearsAtCompany]]&lt;1,"0-1",IF(Table1[[#This Row],[YearsAtCompany]]&lt;=3,"1-3",IF(Table1[[#This Row],[YearsAtCompany]]&lt;=6,"4-6","7+")))</f>
        <v>0-1</v>
      </c>
      <c r="AH1313">
        <f>Table1[[#This Row],[MonthlyIncome]]*12*0.75</f>
        <v>13626</v>
      </c>
      <c r="AI13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13">
        <f>IF(Table1[[#This Row],[Attrition]]="Yes",Table1[[#This Row],[EstReplacementCost]],0)</f>
        <v>0</v>
      </c>
    </row>
    <row r="1314" spans="1:36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61</v>
      </c>
      <c r="P1314">
        <v>1</v>
      </c>
      <c r="Q1314" t="s">
        <v>48</v>
      </c>
      <c r="R1314">
        <v>2956</v>
      </c>
      <c r="S1314">
        <v>21495</v>
      </c>
      <c r="T1314">
        <v>0</v>
      </c>
      <c r="U1314" t="s">
        <v>43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>
        <f>IF(Table1[[#This Row],[YearsAtCompany]]&lt;1,"0-1",IF(Table1[[#This Row],[YearsAtCompany]]&lt;=3,"1-3",IF(Table1[[#This Row],[YearsAtCompany]]&lt;=6,"4-6","7+")))</f>
        <v>1-3</v>
      </c>
      <c r="AH1314">
        <f>Table1[[#This Row],[MonthlyIncome]]*12*0.75</f>
        <v>26604</v>
      </c>
      <c r="AI13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14">
        <f>IF(Table1[[#This Row],[Attrition]]="Yes",Table1[[#This Row],[EstReplacementCost]],0)</f>
        <v>26604</v>
      </c>
    </row>
    <row r="1315" spans="1:36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61</v>
      </c>
      <c r="P1315">
        <v>1</v>
      </c>
      <c r="Q1315" t="s">
        <v>52</v>
      </c>
      <c r="R1315">
        <v>2335</v>
      </c>
      <c r="S1315">
        <v>3157</v>
      </c>
      <c r="T1315">
        <v>4</v>
      </c>
      <c r="U1315" t="s">
        <v>35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tr">
        <f>IF(Table1[[#This Row],[YearsAtCompany]]&lt;1,"0-1",IF(Table1[[#This Row],[YearsAtCompany]]&lt;=3,"1-3",IF(Table1[[#This Row],[YearsAtCompany]]&lt;=6,"4-6","7+")))</f>
        <v>1-3</v>
      </c>
      <c r="AH1315">
        <f>Table1[[#This Row],[MonthlyIncome]]*12*0.75</f>
        <v>21015</v>
      </c>
      <c r="AI13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315">
        <f>IF(Table1[[#This Row],[Attrition]]="Yes",Table1[[#This Row],[EstReplacementCost]],0)</f>
        <v>21015</v>
      </c>
    </row>
    <row r="1316" spans="1:36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48</v>
      </c>
      <c r="R1316">
        <v>5154</v>
      </c>
      <c r="S1316">
        <v>19665</v>
      </c>
      <c r="T1316">
        <v>4</v>
      </c>
      <c r="U1316" t="s">
        <v>43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tr">
        <f>IF(Table1[[#This Row],[YearsAtCompany]]&lt;1,"0-1",IF(Table1[[#This Row],[YearsAtCompany]]&lt;=3,"1-3",IF(Table1[[#This Row],[YearsAtCompany]]&lt;=6,"4-6","7+")))</f>
        <v>7+</v>
      </c>
      <c r="AH1316">
        <f>Table1[[#This Row],[MonthlyIncome]]*12*0.75</f>
        <v>46386</v>
      </c>
      <c r="AI13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16">
        <f>IF(Table1[[#This Row],[Attrition]]="Yes",Table1[[#This Row],[EstReplacementCost]],0)</f>
        <v>0</v>
      </c>
    </row>
    <row r="1317" spans="1:36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47</v>
      </c>
      <c r="P1317">
        <v>2</v>
      </c>
      <c r="Q1317" t="s">
        <v>48</v>
      </c>
      <c r="R1317">
        <v>6962</v>
      </c>
      <c r="S1317">
        <v>19573</v>
      </c>
      <c r="T1317">
        <v>4</v>
      </c>
      <c r="U1317" t="s">
        <v>35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>
        <f>IF(Table1[[#This Row],[YearsAtCompany]]&lt;1,"0-1",IF(Table1[[#This Row],[YearsAtCompany]]&lt;=3,"1-3",IF(Table1[[#This Row],[YearsAtCompany]]&lt;=6,"4-6","7+")))</f>
        <v>1-3</v>
      </c>
      <c r="AH1317">
        <f>Table1[[#This Row],[MonthlyIncome]]*12*0.75</f>
        <v>62658</v>
      </c>
      <c r="AI13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317">
        <f>IF(Table1[[#This Row],[Attrition]]="Yes",Table1[[#This Row],[EstReplacementCost]],0)</f>
        <v>0</v>
      </c>
    </row>
    <row r="1318" spans="1:36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48</v>
      </c>
      <c r="R1318">
        <v>5675</v>
      </c>
      <c r="S1318">
        <v>19246</v>
      </c>
      <c r="T1318">
        <v>1</v>
      </c>
      <c r="U1318" t="s">
        <v>43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tr">
        <f>IF(Table1[[#This Row],[YearsAtCompany]]&lt;1,"0-1",IF(Table1[[#This Row],[YearsAtCompany]]&lt;=3,"1-3",IF(Table1[[#This Row],[YearsAtCompany]]&lt;=6,"4-6","7+")))</f>
        <v>7+</v>
      </c>
      <c r="AH1318">
        <f>Table1[[#This Row],[MonthlyIncome]]*12*0.75</f>
        <v>51075</v>
      </c>
      <c r="AI13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18">
        <f>IF(Table1[[#This Row],[Attrition]]="Yes",Table1[[#This Row],[EstReplacementCost]],0)</f>
        <v>0</v>
      </c>
    </row>
    <row r="1319" spans="1:36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50</v>
      </c>
      <c r="P1319">
        <v>4</v>
      </c>
      <c r="Q1319" t="s">
        <v>41</v>
      </c>
      <c r="R1319">
        <v>2379</v>
      </c>
      <c r="S1319">
        <v>19826</v>
      </c>
      <c r="T1319">
        <v>0</v>
      </c>
      <c r="U1319" t="s">
        <v>35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tr">
        <f>IF(Table1[[#This Row],[YearsAtCompany]]&lt;1,"0-1",IF(Table1[[#This Row],[YearsAtCompany]]&lt;=3,"1-3",IF(Table1[[#This Row],[YearsAtCompany]]&lt;=6,"4-6","7+")))</f>
        <v>4-6</v>
      </c>
      <c r="AH1319">
        <f>Table1[[#This Row],[MonthlyIncome]]*12*0.75</f>
        <v>21411</v>
      </c>
      <c r="AI13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19">
        <f>IF(Table1[[#This Row],[Attrition]]="Yes",Table1[[#This Row],[EstReplacementCost]],0)</f>
        <v>0</v>
      </c>
    </row>
    <row r="1320" spans="1:36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50</v>
      </c>
      <c r="P1320">
        <v>4</v>
      </c>
      <c r="Q1320" t="s">
        <v>48</v>
      </c>
      <c r="R1320">
        <v>3812</v>
      </c>
      <c r="S1320">
        <v>7003</v>
      </c>
      <c r="T1320">
        <v>1</v>
      </c>
      <c r="U1320" t="s">
        <v>43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tr">
        <f>IF(Table1[[#This Row],[YearsAtCompany]]&lt;1,"0-1",IF(Table1[[#This Row],[YearsAtCompany]]&lt;=3,"1-3",IF(Table1[[#This Row],[YearsAtCompany]]&lt;=6,"4-6","7+")))</f>
        <v>7+</v>
      </c>
      <c r="AH1320">
        <f>Table1[[#This Row],[MonthlyIncome]]*12*0.75</f>
        <v>34308</v>
      </c>
      <c r="AI13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20">
        <f>IF(Table1[[#This Row],[Attrition]]="Yes",Table1[[#This Row],[EstReplacementCost]],0)</f>
        <v>0</v>
      </c>
    </row>
    <row r="1321" spans="1:36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>
        <v>4648</v>
      </c>
      <c r="S1321">
        <v>26075</v>
      </c>
      <c r="T1321">
        <v>8</v>
      </c>
      <c r="U1321" t="s">
        <v>43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tr">
        <f>IF(Table1[[#This Row],[YearsAtCompany]]&lt;1,"0-1",IF(Table1[[#This Row],[YearsAtCompany]]&lt;=3,"1-3",IF(Table1[[#This Row],[YearsAtCompany]]&lt;=6,"4-6","7+")))</f>
        <v>0-1</v>
      </c>
      <c r="AH1321">
        <f>Table1[[#This Row],[MonthlyIncome]]*12*0.75</f>
        <v>41832</v>
      </c>
      <c r="AI13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21">
        <f>IF(Table1[[#This Row],[Attrition]]="Yes",Table1[[#This Row],[EstReplacementCost]],0)</f>
        <v>0</v>
      </c>
    </row>
    <row r="1322" spans="1:36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47</v>
      </c>
      <c r="P1322">
        <v>3</v>
      </c>
      <c r="Q1322" t="s">
        <v>48</v>
      </c>
      <c r="R1322">
        <v>2936</v>
      </c>
      <c r="S1322">
        <v>6161</v>
      </c>
      <c r="T1322">
        <v>3</v>
      </c>
      <c r="U1322" t="s">
        <v>43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tr">
        <f>IF(Table1[[#This Row],[YearsAtCompany]]&lt;1,"0-1",IF(Table1[[#This Row],[YearsAtCompany]]&lt;=3,"1-3",IF(Table1[[#This Row],[YearsAtCompany]]&lt;=6,"4-6","7+")))</f>
        <v>4-6</v>
      </c>
      <c r="AH1322">
        <f>Table1[[#This Row],[MonthlyIncome]]*12*0.75</f>
        <v>26424</v>
      </c>
      <c r="AI13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22">
        <f>IF(Table1[[#This Row],[Attrition]]="Yes",Table1[[#This Row],[EstReplacementCost]],0)</f>
        <v>0</v>
      </c>
    </row>
    <row r="1323" spans="1:36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50</v>
      </c>
      <c r="P1323">
        <v>3</v>
      </c>
      <c r="Q1323" t="s">
        <v>41</v>
      </c>
      <c r="R1323">
        <v>2105</v>
      </c>
      <c r="S1323">
        <v>5411</v>
      </c>
      <c r="T1323">
        <v>4</v>
      </c>
      <c r="U1323" t="s">
        <v>43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tr">
        <f>IF(Table1[[#This Row],[YearsAtCompany]]&lt;1,"0-1",IF(Table1[[#This Row],[YearsAtCompany]]&lt;=3,"1-3",IF(Table1[[#This Row],[YearsAtCompany]]&lt;=6,"4-6","7+")))</f>
        <v>1-3</v>
      </c>
      <c r="AH1323">
        <f>Table1[[#This Row],[MonthlyIncome]]*12*0.75</f>
        <v>18945</v>
      </c>
      <c r="AI13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23">
        <f>IF(Table1[[#This Row],[Attrition]]="Yes",Table1[[#This Row],[EstReplacementCost]],0)</f>
        <v>0</v>
      </c>
    </row>
    <row r="1324" spans="1:36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53</v>
      </c>
      <c r="P1324">
        <v>4</v>
      </c>
      <c r="Q1324" t="s">
        <v>52</v>
      </c>
      <c r="R1324">
        <v>8578</v>
      </c>
      <c r="S1324">
        <v>19989</v>
      </c>
      <c r="T1324">
        <v>3</v>
      </c>
      <c r="U1324" t="s">
        <v>43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tr">
        <f>IF(Table1[[#This Row],[YearsAtCompany]]&lt;1,"0-1",IF(Table1[[#This Row],[YearsAtCompany]]&lt;=3,"1-3",IF(Table1[[#This Row],[YearsAtCompany]]&lt;=6,"4-6","7+")))</f>
        <v>7+</v>
      </c>
      <c r="AH1324">
        <f>Table1[[#This Row],[MonthlyIncome]]*12*0.75</f>
        <v>77202</v>
      </c>
      <c r="AI13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24">
        <f>IF(Table1[[#This Row],[Attrition]]="Yes",Table1[[#This Row],[EstReplacementCost]],0)</f>
        <v>0</v>
      </c>
    </row>
    <row r="1325" spans="1:36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61</v>
      </c>
      <c r="P1325">
        <v>4</v>
      </c>
      <c r="Q1325" t="s">
        <v>52</v>
      </c>
      <c r="R1325">
        <v>2706</v>
      </c>
      <c r="S1325">
        <v>10494</v>
      </c>
      <c r="T1325">
        <v>1</v>
      </c>
      <c r="U1325" t="s">
        <v>43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tr">
        <f>IF(Table1[[#This Row],[YearsAtCompany]]&lt;1,"0-1",IF(Table1[[#This Row],[YearsAtCompany]]&lt;=3,"1-3",IF(Table1[[#This Row],[YearsAtCompany]]&lt;=6,"4-6","7+")))</f>
        <v>1-3</v>
      </c>
      <c r="AH1325">
        <f>Table1[[#This Row],[MonthlyIncome]]*12*0.75</f>
        <v>24354</v>
      </c>
      <c r="AI13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25">
        <f>IF(Table1[[#This Row],[Attrition]]="Yes",Table1[[#This Row],[EstReplacementCost]],0)</f>
        <v>0</v>
      </c>
    </row>
    <row r="1326" spans="1:36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54</v>
      </c>
      <c r="P1326">
        <v>3</v>
      </c>
      <c r="Q1326" t="s">
        <v>52</v>
      </c>
      <c r="R1326">
        <v>6384</v>
      </c>
      <c r="S1326">
        <v>21143</v>
      </c>
      <c r="T1326">
        <v>8</v>
      </c>
      <c r="U1326" t="s">
        <v>43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tr">
        <f>IF(Table1[[#This Row],[YearsAtCompany]]&lt;1,"0-1",IF(Table1[[#This Row],[YearsAtCompany]]&lt;=3,"1-3",IF(Table1[[#This Row],[YearsAtCompany]]&lt;=6,"4-6","7+")))</f>
        <v>7+</v>
      </c>
      <c r="AH1326">
        <f>Table1[[#This Row],[MonthlyIncome]]*12*0.75</f>
        <v>57456</v>
      </c>
      <c r="AI13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26">
        <f>IF(Table1[[#This Row],[Attrition]]="Yes",Table1[[#This Row],[EstReplacementCost]],0)</f>
        <v>0</v>
      </c>
    </row>
    <row r="1327" spans="1:36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50</v>
      </c>
      <c r="P1327">
        <v>3</v>
      </c>
      <c r="Q1327" t="s">
        <v>41</v>
      </c>
      <c r="R1327">
        <v>3968</v>
      </c>
      <c r="S1327">
        <v>13624</v>
      </c>
      <c r="T1327">
        <v>4</v>
      </c>
      <c r="U1327" t="s">
        <v>43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tr">
        <f>IF(Table1[[#This Row],[YearsAtCompany]]&lt;1,"0-1",IF(Table1[[#This Row],[YearsAtCompany]]&lt;=3,"1-3",IF(Table1[[#This Row],[YearsAtCompany]]&lt;=6,"4-6","7+")))</f>
        <v>0-1</v>
      </c>
      <c r="AH1327">
        <f>Table1[[#This Row],[MonthlyIncome]]*12*0.75</f>
        <v>35712</v>
      </c>
      <c r="AI13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27">
        <f>IF(Table1[[#This Row],[Attrition]]="Yes",Table1[[#This Row],[EstReplacementCost]],0)</f>
        <v>0</v>
      </c>
    </row>
    <row r="1328" spans="1:36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>
        <v>9907</v>
      </c>
      <c r="S1328">
        <v>26186</v>
      </c>
      <c r="T1328">
        <v>7</v>
      </c>
      <c r="U1328" t="s">
        <v>35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tr">
        <f>IF(Table1[[#This Row],[YearsAtCompany]]&lt;1,"0-1",IF(Table1[[#This Row],[YearsAtCompany]]&lt;=3,"1-3",IF(Table1[[#This Row],[YearsAtCompany]]&lt;=6,"4-6","7+")))</f>
        <v>1-3</v>
      </c>
      <c r="AH1328">
        <f>Table1[[#This Row],[MonthlyIncome]]*12*0.75</f>
        <v>89163</v>
      </c>
      <c r="AI13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328">
        <f>IF(Table1[[#This Row],[Attrition]]="Yes",Table1[[#This Row],[EstReplacementCost]],0)</f>
        <v>89163</v>
      </c>
    </row>
    <row r="1329" spans="1:36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52</v>
      </c>
      <c r="R1329">
        <v>13225</v>
      </c>
      <c r="S1329">
        <v>7739</v>
      </c>
      <c r="T1329">
        <v>2</v>
      </c>
      <c r="U1329" t="s">
        <v>43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tr">
        <f>IF(Table1[[#This Row],[YearsAtCompany]]&lt;1,"0-1",IF(Table1[[#This Row],[YearsAtCompany]]&lt;=3,"1-3",IF(Table1[[#This Row],[YearsAtCompany]]&lt;=6,"4-6","7+")))</f>
        <v>7+</v>
      </c>
      <c r="AH1329">
        <f>Table1[[#This Row],[MonthlyIncome]]*12*0.75</f>
        <v>119025</v>
      </c>
      <c r="AI13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29">
        <f>IF(Table1[[#This Row],[Attrition]]="Yes",Table1[[#This Row],[EstReplacementCost]],0)</f>
        <v>0</v>
      </c>
    </row>
    <row r="1330" spans="1:36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57</v>
      </c>
      <c r="P1330">
        <v>3</v>
      </c>
      <c r="Q1330" t="s">
        <v>48</v>
      </c>
      <c r="R1330">
        <v>3540</v>
      </c>
      <c r="S1330">
        <v>7018</v>
      </c>
      <c r="T1330">
        <v>1</v>
      </c>
      <c r="U1330" t="s">
        <v>43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tr">
        <f>IF(Table1[[#This Row],[YearsAtCompany]]&lt;1,"0-1",IF(Table1[[#This Row],[YearsAtCompany]]&lt;=3,"1-3",IF(Table1[[#This Row],[YearsAtCompany]]&lt;=6,"4-6","7+")))</f>
        <v>7+</v>
      </c>
      <c r="AH1330">
        <f>Table1[[#This Row],[MonthlyIncome]]*12*0.75</f>
        <v>31860</v>
      </c>
      <c r="AI13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30">
        <f>IF(Table1[[#This Row],[Attrition]]="Yes",Table1[[#This Row],[EstReplacementCost]],0)</f>
        <v>0</v>
      </c>
    </row>
    <row r="1331" spans="1:36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61</v>
      </c>
      <c r="P1331">
        <v>2</v>
      </c>
      <c r="Q1331" t="s">
        <v>48</v>
      </c>
      <c r="R1331">
        <v>2804</v>
      </c>
      <c r="S1331">
        <v>15434</v>
      </c>
      <c r="T1331">
        <v>1</v>
      </c>
      <c r="U1331" t="s">
        <v>43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>
        <f>IF(Table1[[#This Row],[YearsAtCompany]]&lt;1,"0-1",IF(Table1[[#This Row],[YearsAtCompany]]&lt;=3,"1-3",IF(Table1[[#This Row],[YearsAtCompany]]&lt;=6,"4-6","7+")))</f>
        <v>1-3</v>
      </c>
      <c r="AH1331">
        <f>Table1[[#This Row],[MonthlyIncome]]*12*0.75</f>
        <v>25236</v>
      </c>
      <c r="AI13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31">
        <f>IF(Table1[[#This Row],[Attrition]]="Yes",Table1[[#This Row],[EstReplacementCost]],0)</f>
        <v>0</v>
      </c>
    </row>
    <row r="1332" spans="1:36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56</v>
      </c>
      <c r="P1332">
        <v>3</v>
      </c>
      <c r="Q1332" t="s">
        <v>48</v>
      </c>
      <c r="R1332">
        <v>19392</v>
      </c>
      <c r="S1332">
        <v>22539</v>
      </c>
      <c r="T1332">
        <v>7</v>
      </c>
      <c r="U1332" t="s">
        <v>43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tr">
        <f>IF(Table1[[#This Row],[YearsAtCompany]]&lt;1,"0-1",IF(Table1[[#This Row],[YearsAtCompany]]&lt;=3,"1-3",IF(Table1[[#This Row],[YearsAtCompany]]&lt;=6,"4-6","7+")))</f>
        <v>7+</v>
      </c>
      <c r="AH1332">
        <f>Table1[[#This Row],[MonthlyIncome]]*12*0.75</f>
        <v>174528</v>
      </c>
      <c r="AI13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32">
        <f>IF(Table1[[#This Row],[Attrition]]="Yes",Table1[[#This Row],[EstReplacementCost]],0)</f>
        <v>0</v>
      </c>
    </row>
    <row r="1333" spans="1:36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58</v>
      </c>
      <c r="P1333">
        <v>2</v>
      </c>
      <c r="Q1333" t="s">
        <v>48</v>
      </c>
      <c r="R1333">
        <v>19665</v>
      </c>
      <c r="S1333">
        <v>13583</v>
      </c>
      <c r="T1333">
        <v>4</v>
      </c>
      <c r="U1333" t="s">
        <v>43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tr">
        <f>IF(Table1[[#This Row],[YearsAtCompany]]&lt;1,"0-1",IF(Table1[[#This Row],[YearsAtCompany]]&lt;=3,"1-3",IF(Table1[[#This Row],[YearsAtCompany]]&lt;=6,"4-6","7+")))</f>
        <v>7+</v>
      </c>
      <c r="AH1333">
        <f>Table1[[#This Row],[MonthlyIncome]]*12*0.75</f>
        <v>176985</v>
      </c>
      <c r="AI13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33">
        <f>IF(Table1[[#This Row],[Attrition]]="Yes",Table1[[#This Row],[EstReplacementCost]],0)</f>
        <v>0</v>
      </c>
    </row>
    <row r="1334" spans="1:36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47</v>
      </c>
      <c r="P1334">
        <v>4</v>
      </c>
      <c r="Q1334" t="s">
        <v>41</v>
      </c>
      <c r="R1334">
        <v>2439</v>
      </c>
      <c r="S1334">
        <v>14753</v>
      </c>
      <c r="T1334">
        <v>1</v>
      </c>
      <c r="U1334" t="s">
        <v>35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tr">
        <f>IF(Table1[[#This Row],[YearsAtCompany]]&lt;1,"0-1",IF(Table1[[#This Row],[YearsAtCompany]]&lt;=3,"1-3",IF(Table1[[#This Row],[YearsAtCompany]]&lt;=6,"4-6","7+")))</f>
        <v>1-3</v>
      </c>
      <c r="AH1334">
        <f>Table1[[#This Row],[MonthlyIncome]]*12*0.75</f>
        <v>21951</v>
      </c>
      <c r="AI13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34">
        <f>IF(Table1[[#This Row],[Attrition]]="Yes",Table1[[#This Row],[EstReplacementCost]],0)</f>
        <v>21951</v>
      </c>
    </row>
    <row r="1335" spans="1:36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48</v>
      </c>
      <c r="R1335">
        <v>7314</v>
      </c>
      <c r="S1335">
        <v>14011</v>
      </c>
      <c r="T1335">
        <v>5</v>
      </c>
      <c r="U1335" t="s">
        <v>43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tr">
        <f>IF(Table1[[#This Row],[YearsAtCompany]]&lt;1,"0-1",IF(Table1[[#This Row],[YearsAtCompany]]&lt;=3,"1-3",IF(Table1[[#This Row],[YearsAtCompany]]&lt;=6,"4-6","7+")))</f>
        <v>7+</v>
      </c>
      <c r="AH1335">
        <f>Table1[[#This Row],[MonthlyIncome]]*12*0.75</f>
        <v>65826</v>
      </c>
      <c r="AI13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35">
        <f>IF(Table1[[#This Row],[Attrition]]="Yes",Table1[[#This Row],[EstReplacementCost]],0)</f>
        <v>65826</v>
      </c>
    </row>
    <row r="1336" spans="1:36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47</v>
      </c>
      <c r="P1336">
        <v>1</v>
      </c>
      <c r="Q1336" t="s">
        <v>48</v>
      </c>
      <c r="R1336">
        <v>4774</v>
      </c>
      <c r="S1336">
        <v>23844</v>
      </c>
      <c r="T1336">
        <v>0</v>
      </c>
      <c r="U1336" t="s">
        <v>43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tr">
        <f>IF(Table1[[#This Row],[YearsAtCompany]]&lt;1,"0-1",IF(Table1[[#This Row],[YearsAtCompany]]&lt;=3,"1-3",IF(Table1[[#This Row],[YearsAtCompany]]&lt;=6,"4-6","7+")))</f>
        <v>7+</v>
      </c>
      <c r="AH1336">
        <f>Table1[[#This Row],[MonthlyIncome]]*12*0.75</f>
        <v>42966</v>
      </c>
      <c r="AI13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36">
        <f>IF(Table1[[#This Row],[Attrition]]="Yes",Table1[[#This Row],[EstReplacementCost]],0)</f>
        <v>0</v>
      </c>
    </row>
    <row r="1337" spans="1:36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47</v>
      </c>
      <c r="P1337">
        <v>4</v>
      </c>
      <c r="Q1337" t="s">
        <v>52</v>
      </c>
      <c r="R1337">
        <v>3902</v>
      </c>
      <c r="S1337">
        <v>5141</v>
      </c>
      <c r="T1337">
        <v>8</v>
      </c>
      <c r="U1337" t="s">
        <v>43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tr">
        <f>IF(Table1[[#This Row],[YearsAtCompany]]&lt;1,"0-1",IF(Table1[[#This Row],[YearsAtCompany]]&lt;=3,"1-3",IF(Table1[[#This Row],[YearsAtCompany]]&lt;=6,"4-6","7+")))</f>
        <v>1-3</v>
      </c>
      <c r="AH1337">
        <f>Table1[[#This Row],[MonthlyIncome]]*12*0.75</f>
        <v>35118</v>
      </c>
      <c r="AI13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37">
        <f>IF(Table1[[#This Row],[Attrition]]="Yes",Table1[[#This Row],[EstReplacementCost]],0)</f>
        <v>0</v>
      </c>
    </row>
    <row r="1338" spans="1:36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47</v>
      </c>
      <c r="P1338">
        <v>4</v>
      </c>
      <c r="Q1338" t="s">
        <v>48</v>
      </c>
      <c r="R1338">
        <v>2662</v>
      </c>
      <c r="S1338">
        <v>7975</v>
      </c>
      <c r="T1338">
        <v>8</v>
      </c>
      <c r="U1338" t="s">
        <v>43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tr">
        <f>IF(Table1[[#This Row],[YearsAtCompany]]&lt;1,"0-1",IF(Table1[[#This Row],[YearsAtCompany]]&lt;=3,"1-3",IF(Table1[[#This Row],[YearsAtCompany]]&lt;=6,"4-6","7+")))</f>
        <v>4-6</v>
      </c>
      <c r="AH1338">
        <f>Table1[[#This Row],[MonthlyIncome]]*12*0.75</f>
        <v>23958</v>
      </c>
      <c r="AI13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38">
        <f>IF(Table1[[#This Row],[Attrition]]="Yes",Table1[[#This Row],[EstReplacementCost]],0)</f>
        <v>0</v>
      </c>
    </row>
    <row r="1339" spans="1:36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57</v>
      </c>
      <c r="P1339">
        <v>2</v>
      </c>
      <c r="Q1339" t="s">
        <v>48</v>
      </c>
      <c r="R1339">
        <v>2856</v>
      </c>
      <c r="S1339">
        <v>3692</v>
      </c>
      <c r="T1339">
        <v>1</v>
      </c>
      <c r="U1339" t="s">
        <v>43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tr">
        <f>IF(Table1[[#This Row],[YearsAtCompany]]&lt;1,"0-1",IF(Table1[[#This Row],[YearsAtCompany]]&lt;=3,"1-3",IF(Table1[[#This Row],[YearsAtCompany]]&lt;=6,"4-6","7+")))</f>
        <v>1-3</v>
      </c>
      <c r="AH1339">
        <f>Table1[[#This Row],[MonthlyIncome]]*12*0.75</f>
        <v>25704</v>
      </c>
      <c r="AI13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39">
        <f>IF(Table1[[#This Row],[Attrition]]="Yes",Table1[[#This Row],[EstReplacementCost]],0)</f>
        <v>0</v>
      </c>
    </row>
    <row r="1340" spans="1:36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57</v>
      </c>
      <c r="P1340">
        <v>4</v>
      </c>
      <c r="Q1340" t="s">
        <v>41</v>
      </c>
      <c r="R1340">
        <v>1081</v>
      </c>
      <c r="S1340">
        <v>16019</v>
      </c>
      <c r="T1340">
        <v>1</v>
      </c>
      <c r="U1340" t="s">
        <v>43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tr">
        <f>IF(Table1[[#This Row],[YearsAtCompany]]&lt;1,"0-1",IF(Table1[[#This Row],[YearsAtCompany]]&lt;=3,"1-3",IF(Table1[[#This Row],[YearsAtCompany]]&lt;=6,"4-6","7+")))</f>
        <v>1-3</v>
      </c>
      <c r="AH1340">
        <f>Table1[[#This Row],[MonthlyIncome]]*12*0.75</f>
        <v>9729</v>
      </c>
      <c r="AI13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40">
        <f>IF(Table1[[#This Row],[Attrition]]="Yes",Table1[[#This Row],[EstReplacementCost]],0)</f>
        <v>9729</v>
      </c>
    </row>
    <row r="1341" spans="1:36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47</v>
      </c>
      <c r="P1341">
        <v>2</v>
      </c>
      <c r="Q1341" t="s">
        <v>41</v>
      </c>
      <c r="R1341">
        <v>2472</v>
      </c>
      <c r="S1341">
        <v>26092</v>
      </c>
      <c r="T1341">
        <v>1</v>
      </c>
      <c r="U1341" t="s">
        <v>35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>
        <f>IF(Table1[[#This Row],[YearsAtCompany]]&lt;1,"0-1",IF(Table1[[#This Row],[YearsAtCompany]]&lt;=3,"1-3",IF(Table1[[#This Row],[YearsAtCompany]]&lt;=6,"4-6","7+")))</f>
        <v>1-3</v>
      </c>
      <c r="AH1341">
        <f>Table1[[#This Row],[MonthlyIncome]]*12*0.75</f>
        <v>22248</v>
      </c>
      <c r="AI13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341">
        <f>IF(Table1[[#This Row],[Attrition]]="Yes",Table1[[#This Row],[EstReplacementCost]],0)</f>
        <v>22248</v>
      </c>
    </row>
    <row r="1342" spans="1:36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48</v>
      </c>
      <c r="R1342">
        <v>5673</v>
      </c>
      <c r="S1342">
        <v>6060</v>
      </c>
      <c r="T1342">
        <v>1</v>
      </c>
      <c r="U1342" t="s">
        <v>35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tr">
        <f>IF(Table1[[#This Row],[YearsAtCompany]]&lt;1,"0-1",IF(Table1[[#This Row],[YearsAtCompany]]&lt;=3,"1-3",IF(Table1[[#This Row],[YearsAtCompany]]&lt;=6,"4-6","7+")))</f>
        <v>7+</v>
      </c>
      <c r="AH1342">
        <f>Table1[[#This Row],[MonthlyIncome]]*12*0.75</f>
        <v>51057</v>
      </c>
      <c r="AI13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42">
        <f>IF(Table1[[#This Row],[Attrition]]="Yes",Table1[[#This Row],[EstReplacementCost]],0)</f>
        <v>0</v>
      </c>
    </row>
    <row r="1343" spans="1:36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50</v>
      </c>
      <c r="P1343">
        <v>3</v>
      </c>
      <c r="Q1343" t="s">
        <v>52</v>
      </c>
      <c r="R1343">
        <v>4197</v>
      </c>
      <c r="S1343">
        <v>18624</v>
      </c>
      <c r="T1343">
        <v>1</v>
      </c>
      <c r="U1343" t="s">
        <v>43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tr">
        <f>IF(Table1[[#This Row],[YearsAtCompany]]&lt;1,"0-1",IF(Table1[[#This Row],[YearsAtCompany]]&lt;=3,"1-3",IF(Table1[[#This Row],[YearsAtCompany]]&lt;=6,"4-6","7+")))</f>
        <v>7+</v>
      </c>
      <c r="AH1343">
        <f>Table1[[#This Row],[MonthlyIncome]]*12*0.75</f>
        <v>37773</v>
      </c>
      <c r="AI13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43">
        <f>IF(Table1[[#This Row],[Attrition]]="Yes",Table1[[#This Row],[EstReplacementCost]],0)</f>
        <v>0</v>
      </c>
    </row>
    <row r="1344" spans="1:36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48</v>
      </c>
      <c r="R1344">
        <v>9713</v>
      </c>
      <c r="S1344">
        <v>24444</v>
      </c>
      <c r="T1344">
        <v>2</v>
      </c>
      <c r="U1344" t="s">
        <v>35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tr">
        <f>IF(Table1[[#This Row],[YearsAtCompany]]&lt;1,"0-1",IF(Table1[[#This Row],[YearsAtCompany]]&lt;=3,"1-3",IF(Table1[[#This Row],[YearsAtCompany]]&lt;=6,"4-6","7+")))</f>
        <v>4-6</v>
      </c>
      <c r="AH1344">
        <f>Table1[[#This Row],[MonthlyIncome]]*12*0.75</f>
        <v>87417</v>
      </c>
      <c r="AI13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44">
        <f>IF(Table1[[#This Row],[Attrition]]="Yes",Table1[[#This Row],[EstReplacementCost]],0)</f>
        <v>0</v>
      </c>
    </row>
    <row r="1345" spans="1:36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50</v>
      </c>
      <c r="P1345">
        <v>1</v>
      </c>
      <c r="Q1345" t="s">
        <v>41</v>
      </c>
      <c r="R1345">
        <v>2062</v>
      </c>
      <c r="S1345">
        <v>19384</v>
      </c>
      <c r="T1345">
        <v>3</v>
      </c>
      <c r="U1345" t="s">
        <v>43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tr">
        <f>IF(Table1[[#This Row],[YearsAtCompany]]&lt;1,"0-1",IF(Table1[[#This Row],[YearsAtCompany]]&lt;=3,"1-3",IF(Table1[[#This Row],[YearsAtCompany]]&lt;=6,"4-6","7+")))</f>
        <v>1-3</v>
      </c>
      <c r="AH1345">
        <f>Table1[[#This Row],[MonthlyIncome]]*12*0.75</f>
        <v>18558</v>
      </c>
      <c r="AI13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45">
        <f>IF(Table1[[#This Row],[Attrition]]="Yes",Table1[[#This Row],[EstReplacementCost]],0)</f>
        <v>0</v>
      </c>
    </row>
    <row r="1346" spans="1:36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47</v>
      </c>
      <c r="P1346">
        <v>1</v>
      </c>
      <c r="Q1346" t="s">
        <v>48</v>
      </c>
      <c r="R1346">
        <v>4284</v>
      </c>
      <c r="S1346">
        <v>13588</v>
      </c>
      <c r="T1346">
        <v>5</v>
      </c>
      <c r="U1346" t="s">
        <v>35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tr">
        <f>IF(Table1[[#This Row],[YearsAtCompany]]&lt;1,"0-1",IF(Table1[[#This Row],[YearsAtCompany]]&lt;=3,"1-3",IF(Table1[[#This Row],[YearsAtCompany]]&lt;=6,"4-6","7+")))</f>
        <v>4-6</v>
      </c>
      <c r="AH1346">
        <f>Table1[[#This Row],[MonthlyIncome]]*12*0.75</f>
        <v>38556</v>
      </c>
      <c r="AI13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46">
        <f>IF(Table1[[#This Row],[Attrition]]="Yes",Table1[[#This Row],[EstReplacementCost]],0)</f>
        <v>0</v>
      </c>
    </row>
    <row r="1347" spans="1:36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53</v>
      </c>
      <c r="P1347">
        <v>2</v>
      </c>
      <c r="Q1347" t="s">
        <v>48</v>
      </c>
      <c r="R1347">
        <v>4788</v>
      </c>
      <c r="S1347">
        <v>25388</v>
      </c>
      <c r="T1347">
        <v>0</v>
      </c>
      <c r="U1347" t="s">
        <v>35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tr">
        <f>IF(Table1[[#This Row],[YearsAtCompany]]&lt;1,"0-1",IF(Table1[[#This Row],[YearsAtCompany]]&lt;=3,"1-3",IF(Table1[[#This Row],[YearsAtCompany]]&lt;=6,"4-6","7+")))</f>
        <v>1-3</v>
      </c>
      <c r="AH1347">
        <f>Table1[[#This Row],[MonthlyIncome]]*12*0.75</f>
        <v>43092</v>
      </c>
      <c r="AI13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347">
        <f>IF(Table1[[#This Row],[Attrition]]="Yes",Table1[[#This Row],[EstReplacementCost]],0)</f>
        <v>0</v>
      </c>
    </row>
    <row r="1348" spans="1:36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53</v>
      </c>
      <c r="P1348">
        <v>4</v>
      </c>
      <c r="Q1348" t="s">
        <v>48</v>
      </c>
      <c r="R1348">
        <v>5906</v>
      </c>
      <c r="S1348">
        <v>23888</v>
      </c>
      <c r="T1348">
        <v>0</v>
      </c>
      <c r="U1348" t="s">
        <v>43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tr">
        <f>IF(Table1[[#This Row],[YearsAtCompany]]&lt;1,"0-1",IF(Table1[[#This Row],[YearsAtCompany]]&lt;=3,"1-3",IF(Table1[[#This Row],[YearsAtCompany]]&lt;=6,"4-6","7+")))</f>
        <v>7+</v>
      </c>
      <c r="AH1348">
        <f>Table1[[#This Row],[MonthlyIncome]]*12*0.75</f>
        <v>53154</v>
      </c>
      <c r="AI13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48">
        <f>IF(Table1[[#This Row],[Attrition]]="Yes",Table1[[#This Row],[EstReplacementCost]],0)</f>
        <v>0</v>
      </c>
    </row>
    <row r="1349" spans="1:36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61</v>
      </c>
      <c r="P1349">
        <v>4</v>
      </c>
      <c r="Q1349" t="s">
        <v>41</v>
      </c>
      <c r="R1349">
        <v>3886</v>
      </c>
      <c r="S1349">
        <v>4223</v>
      </c>
      <c r="T1349">
        <v>1</v>
      </c>
      <c r="U1349" t="s">
        <v>43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tr">
        <f>IF(Table1[[#This Row],[YearsAtCompany]]&lt;1,"0-1",IF(Table1[[#This Row],[YearsAtCompany]]&lt;=3,"1-3",IF(Table1[[#This Row],[YearsAtCompany]]&lt;=6,"4-6","7+")))</f>
        <v>7+</v>
      </c>
      <c r="AH1349">
        <f>Table1[[#This Row],[MonthlyIncome]]*12*0.75</f>
        <v>34974</v>
      </c>
      <c r="AI13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49">
        <f>IF(Table1[[#This Row],[Attrition]]="Yes",Table1[[#This Row],[EstReplacementCost]],0)</f>
        <v>0</v>
      </c>
    </row>
    <row r="1350" spans="1:36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56</v>
      </c>
      <c r="P1350">
        <v>1</v>
      </c>
      <c r="Q1350" t="s">
        <v>52</v>
      </c>
      <c r="R1350">
        <v>16823</v>
      </c>
      <c r="S1350">
        <v>18991</v>
      </c>
      <c r="T1350">
        <v>2</v>
      </c>
      <c r="U1350" t="s">
        <v>43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tr">
        <f>IF(Table1[[#This Row],[YearsAtCompany]]&lt;1,"0-1",IF(Table1[[#This Row],[YearsAtCompany]]&lt;=3,"1-3",IF(Table1[[#This Row],[YearsAtCompany]]&lt;=6,"4-6","7+")))</f>
        <v>7+</v>
      </c>
      <c r="AH1350">
        <f>Table1[[#This Row],[MonthlyIncome]]*12*0.75</f>
        <v>151407</v>
      </c>
      <c r="AI13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50">
        <f>IF(Table1[[#This Row],[Attrition]]="Yes",Table1[[#This Row],[EstReplacementCost]],0)</f>
        <v>0</v>
      </c>
    </row>
    <row r="1351" spans="1:36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47</v>
      </c>
      <c r="P1351">
        <v>3</v>
      </c>
      <c r="Q1351" t="s">
        <v>48</v>
      </c>
      <c r="R1351">
        <v>2933</v>
      </c>
      <c r="S1351">
        <v>14908</v>
      </c>
      <c r="T1351">
        <v>1</v>
      </c>
      <c r="U1351" t="s">
        <v>35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tr">
        <f>IF(Table1[[#This Row],[YearsAtCompany]]&lt;1,"0-1",IF(Table1[[#This Row],[YearsAtCompany]]&lt;=3,"1-3",IF(Table1[[#This Row],[YearsAtCompany]]&lt;=6,"4-6","7+")))</f>
        <v>1-3</v>
      </c>
      <c r="AH1351">
        <f>Table1[[#This Row],[MonthlyIncome]]*12*0.75</f>
        <v>26397</v>
      </c>
      <c r="AI13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51">
        <f>IF(Table1[[#This Row],[Attrition]]="Yes",Table1[[#This Row],[EstReplacementCost]],0)</f>
        <v>0</v>
      </c>
    </row>
    <row r="1352" spans="1:36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>
        <v>6500</v>
      </c>
      <c r="S1352">
        <v>26997</v>
      </c>
      <c r="T1352">
        <v>0</v>
      </c>
      <c r="U1352" t="s">
        <v>43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tr">
        <f>IF(Table1[[#This Row],[YearsAtCompany]]&lt;1,"0-1",IF(Table1[[#This Row],[YearsAtCompany]]&lt;=3,"1-3",IF(Table1[[#This Row],[YearsAtCompany]]&lt;=6,"4-6","7+")))</f>
        <v>7+</v>
      </c>
      <c r="AH1352">
        <f>Table1[[#This Row],[MonthlyIncome]]*12*0.75</f>
        <v>58500</v>
      </c>
      <c r="AI13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52">
        <f>IF(Table1[[#This Row],[Attrition]]="Yes",Table1[[#This Row],[EstReplacementCost]],0)</f>
        <v>0</v>
      </c>
    </row>
    <row r="1353" spans="1:36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56</v>
      </c>
      <c r="P1353">
        <v>4</v>
      </c>
      <c r="Q1353" t="s">
        <v>52</v>
      </c>
      <c r="R1353">
        <v>17174</v>
      </c>
      <c r="S1353">
        <v>2437</v>
      </c>
      <c r="T1353">
        <v>3</v>
      </c>
      <c r="U1353" t="s">
        <v>43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tr">
        <f>IF(Table1[[#This Row],[YearsAtCompany]]&lt;1,"0-1",IF(Table1[[#This Row],[YearsAtCompany]]&lt;=3,"1-3",IF(Table1[[#This Row],[YearsAtCompany]]&lt;=6,"4-6","7+")))</f>
        <v>7+</v>
      </c>
      <c r="AH1353">
        <f>Table1[[#This Row],[MonthlyIncome]]*12*0.75</f>
        <v>154566</v>
      </c>
      <c r="AI13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53">
        <f>IF(Table1[[#This Row],[Attrition]]="Yes",Table1[[#This Row],[EstReplacementCost]],0)</f>
        <v>0</v>
      </c>
    </row>
    <row r="1354" spans="1:36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54</v>
      </c>
      <c r="P1354">
        <v>1</v>
      </c>
      <c r="Q1354" t="s">
        <v>48</v>
      </c>
      <c r="R1354">
        <v>5033</v>
      </c>
      <c r="S1354">
        <v>9364</v>
      </c>
      <c r="T1354">
        <v>2</v>
      </c>
      <c r="U1354" t="s">
        <v>43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tr">
        <f>IF(Table1[[#This Row],[YearsAtCompany]]&lt;1,"0-1",IF(Table1[[#This Row],[YearsAtCompany]]&lt;=3,"1-3",IF(Table1[[#This Row],[YearsAtCompany]]&lt;=6,"4-6","7+")))</f>
        <v>1-3</v>
      </c>
      <c r="AH1354">
        <f>Table1[[#This Row],[MonthlyIncome]]*12*0.75</f>
        <v>45297</v>
      </c>
      <c r="AI13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54">
        <f>IF(Table1[[#This Row],[Attrition]]="Yes",Table1[[#This Row],[EstReplacementCost]],0)</f>
        <v>0</v>
      </c>
    </row>
    <row r="1355" spans="1:36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47</v>
      </c>
      <c r="P1355">
        <v>1</v>
      </c>
      <c r="Q1355" t="s">
        <v>48</v>
      </c>
      <c r="R1355">
        <v>2307</v>
      </c>
      <c r="S1355">
        <v>14460</v>
      </c>
      <c r="T1355">
        <v>1</v>
      </c>
      <c r="U1355" t="s">
        <v>35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tr">
        <f>IF(Table1[[#This Row],[YearsAtCompany]]&lt;1,"0-1",IF(Table1[[#This Row],[YearsAtCompany]]&lt;=3,"1-3",IF(Table1[[#This Row],[YearsAtCompany]]&lt;=6,"4-6","7+")))</f>
        <v>4-6</v>
      </c>
      <c r="AH1355">
        <f>Table1[[#This Row],[MonthlyIncome]]*12*0.75</f>
        <v>20763</v>
      </c>
      <c r="AI13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55">
        <f>IF(Table1[[#This Row],[Attrition]]="Yes",Table1[[#This Row],[EstReplacementCost]],0)</f>
        <v>20763</v>
      </c>
    </row>
    <row r="1356" spans="1:36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50</v>
      </c>
      <c r="P1356">
        <v>4</v>
      </c>
      <c r="Q1356" t="s">
        <v>41</v>
      </c>
      <c r="R1356">
        <v>2587</v>
      </c>
      <c r="S1356">
        <v>10261</v>
      </c>
      <c r="T1356">
        <v>1</v>
      </c>
      <c r="U1356" t="s">
        <v>43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tr">
        <f>IF(Table1[[#This Row],[YearsAtCompany]]&lt;1,"0-1",IF(Table1[[#This Row],[YearsAtCompany]]&lt;=3,"1-3",IF(Table1[[#This Row],[YearsAtCompany]]&lt;=6,"4-6","7+")))</f>
        <v>4-6</v>
      </c>
      <c r="AH1356">
        <f>Table1[[#This Row],[MonthlyIncome]]*12*0.75</f>
        <v>23283</v>
      </c>
      <c r="AI13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56">
        <f>IF(Table1[[#This Row],[Attrition]]="Yes",Table1[[#This Row],[EstReplacementCost]],0)</f>
        <v>23283</v>
      </c>
    </row>
    <row r="1357" spans="1:36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48</v>
      </c>
      <c r="R1357">
        <v>5507</v>
      </c>
      <c r="S1357">
        <v>16822</v>
      </c>
      <c r="T1357">
        <v>2</v>
      </c>
      <c r="U1357" t="s">
        <v>43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tr">
        <f>IF(Table1[[#This Row],[YearsAtCompany]]&lt;1,"0-1",IF(Table1[[#This Row],[YearsAtCompany]]&lt;=3,"1-3",IF(Table1[[#This Row],[YearsAtCompany]]&lt;=6,"4-6","7+")))</f>
        <v>4-6</v>
      </c>
      <c r="AH1357">
        <f>Table1[[#This Row],[MonthlyIncome]]*12*0.75</f>
        <v>49563</v>
      </c>
      <c r="AI13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57">
        <f>IF(Table1[[#This Row],[Attrition]]="Yes",Table1[[#This Row],[EstReplacementCost]],0)</f>
        <v>0</v>
      </c>
    </row>
    <row r="1358" spans="1:36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48</v>
      </c>
      <c r="R1358">
        <v>4393</v>
      </c>
      <c r="S1358">
        <v>26841</v>
      </c>
      <c r="T1358">
        <v>5</v>
      </c>
      <c r="U1358" t="s">
        <v>43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tr">
        <f>IF(Table1[[#This Row],[YearsAtCompany]]&lt;1,"0-1",IF(Table1[[#This Row],[YearsAtCompany]]&lt;=3,"1-3",IF(Table1[[#This Row],[YearsAtCompany]]&lt;=6,"4-6","7+")))</f>
        <v>4-6</v>
      </c>
      <c r="AH1358">
        <f>Table1[[#This Row],[MonthlyIncome]]*12*0.75</f>
        <v>39537</v>
      </c>
      <c r="AI13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58">
        <f>IF(Table1[[#This Row],[Attrition]]="Yes",Table1[[#This Row],[EstReplacementCost]],0)</f>
        <v>0</v>
      </c>
    </row>
    <row r="1359" spans="1:36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58</v>
      </c>
      <c r="P1359">
        <v>1</v>
      </c>
      <c r="Q1359" t="s">
        <v>48</v>
      </c>
      <c r="R1359">
        <v>13348</v>
      </c>
      <c r="S1359">
        <v>14842</v>
      </c>
      <c r="T1359">
        <v>9</v>
      </c>
      <c r="U1359" t="s">
        <v>43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tr">
        <f>IF(Table1[[#This Row],[YearsAtCompany]]&lt;1,"0-1",IF(Table1[[#This Row],[YearsAtCompany]]&lt;=3,"1-3",IF(Table1[[#This Row],[YearsAtCompany]]&lt;=6,"4-6","7+")))</f>
        <v>7+</v>
      </c>
      <c r="AH1359">
        <f>Table1[[#This Row],[MonthlyIncome]]*12*0.75</f>
        <v>120132</v>
      </c>
      <c r="AI13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59">
        <f>IF(Table1[[#This Row],[Attrition]]="Yes",Table1[[#This Row],[EstReplacementCost]],0)</f>
        <v>0</v>
      </c>
    </row>
    <row r="1360" spans="1:36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52</v>
      </c>
      <c r="R1360">
        <v>6583</v>
      </c>
      <c r="S1360">
        <v>20115</v>
      </c>
      <c r="T1360">
        <v>2</v>
      </c>
      <c r="U1360" t="s">
        <v>35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tr">
        <f>IF(Table1[[#This Row],[YearsAtCompany]]&lt;1,"0-1",IF(Table1[[#This Row],[YearsAtCompany]]&lt;=3,"1-3",IF(Table1[[#This Row],[YearsAtCompany]]&lt;=6,"4-6","7+")))</f>
        <v>4-6</v>
      </c>
      <c r="AH1360">
        <f>Table1[[#This Row],[MonthlyIncome]]*12*0.75</f>
        <v>59247</v>
      </c>
      <c r="AI13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60">
        <f>IF(Table1[[#This Row],[Attrition]]="Yes",Table1[[#This Row],[EstReplacementCost]],0)</f>
        <v>0</v>
      </c>
    </row>
    <row r="1361" spans="1:36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48</v>
      </c>
      <c r="R1361">
        <v>8103</v>
      </c>
      <c r="S1361">
        <v>16495</v>
      </c>
      <c r="T1361">
        <v>3</v>
      </c>
      <c r="U1361" t="s">
        <v>35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tr">
        <f>IF(Table1[[#This Row],[YearsAtCompany]]&lt;1,"0-1",IF(Table1[[#This Row],[YearsAtCompany]]&lt;=3,"1-3",IF(Table1[[#This Row],[YearsAtCompany]]&lt;=6,"4-6","7+")))</f>
        <v>4-6</v>
      </c>
      <c r="AH1361">
        <f>Table1[[#This Row],[MonthlyIncome]]*12*0.75</f>
        <v>72927</v>
      </c>
      <c r="AI13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61">
        <f>IF(Table1[[#This Row],[Attrition]]="Yes",Table1[[#This Row],[EstReplacementCost]],0)</f>
        <v>0</v>
      </c>
    </row>
    <row r="1362" spans="1:36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50</v>
      </c>
      <c r="P1362">
        <v>3</v>
      </c>
      <c r="Q1362" t="s">
        <v>52</v>
      </c>
      <c r="R1362">
        <v>3978</v>
      </c>
      <c r="S1362">
        <v>16031</v>
      </c>
      <c r="T1362">
        <v>8</v>
      </c>
      <c r="U1362" t="s">
        <v>43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tr">
        <f>IF(Table1[[#This Row],[YearsAtCompany]]&lt;1,"0-1",IF(Table1[[#This Row],[YearsAtCompany]]&lt;=3,"1-3",IF(Table1[[#This Row],[YearsAtCompany]]&lt;=6,"4-6","7+")))</f>
        <v>1-3</v>
      </c>
      <c r="AH1362">
        <f>Table1[[#This Row],[MonthlyIncome]]*12*0.75</f>
        <v>35802</v>
      </c>
      <c r="AI13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62">
        <f>IF(Table1[[#This Row],[Attrition]]="Yes",Table1[[#This Row],[EstReplacementCost]],0)</f>
        <v>0</v>
      </c>
    </row>
    <row r="1363" spans="1:36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50</v>
      </c>
      <c r="P1363">
        <v>4</v>
      </c>
      <c r="Q1363" t="s">
        <v>48</v>
      </c>
      <c r="R1363">
        <v>2544</v>
      </c>
      <c r="S1363">
        <v>7102</v>
      </c>
      <c r="T1363">
        <v>0</v>
      </c>
      <c r="U1363" t="s">
        <v>43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tr">
        <f>IF(Table1[[#This Row],[YearsAtCompany]]&lt;1,"0-1",IF(Table1[[#This Row],[YearsAtCompany]]&lt;=3,"1-3",IF(Table1[[#This Row],[YearsAtCompany]]&lt;=6,"4-6","7+")))</f>
        <v>7+</v>
      </c>
      <c r="AH1363">
        <f>Table1[[#This Row],[MonthlyIncome]]*12*0.75</f>
        <v>22896</v>
      </c>
      <c r="AI13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63">
        <f>IF(Table1[[#This Row],[Attrition]]="Yes",Table1[[#This Row],[EstReplacementCost]],0)</f>
        <v>0</v>
      </c>
    </row>
    <row r="1364" spans="1:36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54</v>
      </c>
      <c r="P1364">
        <v>3</v>
      </c>
      <c r="Q1364" t="s">
        <v>41</v>
      </c>
      <c r="R1364">
        <v>5399</v>
      </c>
      <c r="S1364">
        <v>14511</v>
      </c>
      <c r="T1364">
        <v>4</v>
      </c>
      <c r="U1364" t="s">
        <v>43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tr">
        <f>IF(Table1[[#This Row],[YearsAtCompany]]&lt;1,"0-1",IF(Table1[[#This Row],[YearsAtCompany]]&lt;=3,"1-3",IF(Table1[[#This Row],[YearsAtCompany]]&lt;=6,"4-6","7+")))</f>
        <v>4-6</v>
      </c>
      <c r="AH1364">
        <f>Table1[[#This Row],[MonthlyIncome]]*12*0.75</f>
        <v>48591</v>
      </c>
      <c r="AI13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64">
        <f>IF(Table1[[#This Row],[Attrition]]="Yes",Table1[[#This Row],[EstReplacementCost]],0)</f>
        <v>0</v>
      </c>
    </row>
    <row r="1365" spans="1:36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>
        <v>5487</v>
      </c>
      <c r="S1365">
        <v>10410</v>
      </c>
      <c r="T1365">
        <v>1</v>
      </c>
      <c r="U1365" t="s">
        <v>43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tr">
        <f>IF(Table1[[#This Row],[YearsAtCompany]]&lt;1,"0-1",IF(Table1[[#This Row],[YearsAtCompany]]&lt;=3,"1-3",IF(Table1[[#This Row],[YearsAtCompany]]&lt;=6,"4-6","7+")))</f>
        <v>7+</v>
      </c>
      <c r="AH1365">
        <f>Table1[[#This Row],[MonthlyIncome]]*12*0.75</f>
        <v>49383</v>
      </c>
      <c r="AI13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65">
        <f>IF(Table1[[#This Row],[Attrition]]="Yes",Table1[[#This Row],[EstReplacementCost]],0)</f>
        <v>0</v>
      </c>
    </row>
    <row r="1366" spans="1:36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48</v>
      </c>
      <c r="R1366">
        <v>6834</v>
      </c>
      <c r="S1366">
        <v>19255</v>
      </c>
      <c r="T1366">
        <v>1</v>
      </c>
      <c r="U1366" t="s">
        <v>35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tr">
        <f>IF(Table1[[#This Row],[YearsAtCompany]]&lt;1,"0-1",IF(Table1[[#This Row],[YearsAtCompany]]&lt;=3,"1-3",IF(Table1[[#This Row],[YearsAtCompany]]&lt;=6,"4-6","7+")))</f>
        <v>7+</v>
      </c>
      <c r="AH1366">
        <f>Table1[[#This Row],[MonthlyIncome]]*12*0.75</f>
        <v>61506</v>
      </c>
      <c r="AI13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66">
        <f>IF(Table1[[#This Row],[Attrition]]="Yes",Table1[[#This Row],[EstReplacementCost]],0)</f>
        <v>0</v>
      </c>
    </row>
    <row r="1367" spans="1:36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57</v>
      </c>
      <c r="P1367">
        <v>1</v>
      </c>
      <c r="Q1367" t="s">
        <v>41</v>
      </c>
      <c r="R1367">
        <v>1091</v>
      </c>
      <c r="S1367">
        <v>10642</v>
      </c>
      <c r="T1367">
        <v>1</v>
      </c>
      <c r="U1367" t="s">
        <v>43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>
        <f>IF(Table1[[#This Row],[YearsAtCompany]]&lt;1,"0-1",IF(Table1[[#This Row],[YearsAtCompany]]&lt;=3,"1-3",IF(Table1[[#This Row],[YearsAtCompany]]&lt;=6,"4-6","7+")))</f>
        <v>1-3</v>
      </c>
      <c r="AH1367">
        <f>Table1[[#This Row],[MonthlyIncome]]*12*0.75</f>
        <v>9819</v>
      </c>
      <c r="AI13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67">
        <f>IF(Table1[[#This Row],[Attrition]]="Yes",Table1[[#This Row],[EstReplacementCost]],0)</f>
        <v>9819</v>
      </c>
    </row>
    <row r="1368" spans="1:36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48</v>
      </c>
      <c r="R1368">
        <v>5736</v>
      </c>
      <c r="S1368">
        <v>3987</v>
      </c>
      <c r="T1368">
        <v>6</v>
      </c>
      <c r="U1368" t="s">
        <v>43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tr">
        <f>IF(Table1[[#This Row],[YearsAtCompany]]&lt;1,"0-1",IF(Table1[[#This Row],[YearsAtCompany]]&lt;=3,"1-3",IF(Table1[[#This Row],[YearsAtCompany]]&lt;=6,"4-6","7+")))</f>
        <v>1-3</v>
      </c>
      <c r="AH1368">
        <f>Table1[[#This Row],[MonthlyIncome]]*12*0.75</f>
        <v>51624</v>
      </c>
      <c r="AI13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68">
        <f>IF(Table1[[#This Row],[Attrition]]="Yes",Table1[[#This Row],[EstReplacementCost]],0)</f>
        <v>0</v>
      </c>
    </row>
    <row r="1369" spans="1:36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47</v>
      </c>
      <c r="P1369">
        <v>2</v>
      </c>
      <c r="Q1369" t="s">
        <v>48</v>
      </c>
      <c r="R1369">
        <v>2226</v>
      </c>
      <c r="S1369">
        <v>6073</v>
      </c>
      <c r="T1369">
        <v>1</v>
      </c>
      <c r="U1369" t="s">
        <v>43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tr">
        <f>IF(Table1[[#This Row],[YearsAtCompany]]&lt;1,"0-1",IF(Table1[[#This Row],[YearsAtCompany]]&lt;=3,"1-3",IF(Table1[[#This Row],[YearsAtCompany]]&lt;=6,"4-6","7+")))</f>
        <v>4-6</v>
      </c>
      <c r="AH1369">
        <f>Table1[[#This Row],[MonthlyIncome]]*12*0.75</f>
        <v>20034</v>
      </c>
      <c r="AI13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69">
        <f>IF(Table1[[#This Row],[Attrition]]="Yes",Table1[[#This Row],[EstReplacementCost]],0)</f>
        <v>0</v>
      </c>
    </row>
    <row r="1370" spans="1:36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47</v>
      </c>
      <c r="P1370">
        <v>4</v>
      </c>
      <c r="Q1370" t="s">
        <v>48</v>
      </c>
      <c r="R1370">
        <v>5747</v>
      </c>
      <c r="S1370">
        <v>26496</v>
      </c>
      <c r="T1370">
        <v>1</v>
      </c>
      <c r="U1370" t="s">
        <v>35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tr">
        <f>IF(Table1[[#This Row],[YearsAtCompany]]&lt;1,"0-1",IF(Table1[[#This Row],[YearsAtCompany]]&lt;=3,"1-3",IF(Table1[[#This Row],[YearsAtCompany]]&lt;=6,"4-6","7+")))</f>
        <v>7+</v>
      </c>
      <c r="AH1370">
        <f>Table1[[#This Row],[MonthlyIncome]]*12*0.75</f>
        <v>51723</v>
      </c>
      <c r="AI13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70">
        <f>IF(Table1[[#This Row],[Attrition]]="Yes",Table1[[#This Row],[EstReplacementCost]],0)</f>
        <v>0</v>
      </c>
    </row>
    <row r="1371" spans="1:36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>
        <v>9854</v>
      </c>
      <c r="S1371">
        <v>23352</v>
      </c>
      <c r="T1371">
        <v>3</v>
      </c>
      <c r="U1371" t="s">
        <v>35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tr">
        <f>IF(Table1[[#This Row],[YearsAtCompany]]&lt;1,"0-1",IF(Table1[[#This Row],[YearsAtCompany]]&lt;=3,"1-3",IF(Table1[[#This Row],[YearsAtCompany]]&lt;=6,"4-6","7+")))</f>
        <v>1-3</v>
      </c>
      <c r="AH1371">
        <f>Table1[[#This Row],[MonthlyIncome]]*12*0.75</f>
        <v>88686</v>
      </c>
      <c r="AI13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71">
        <f>IF(Table1[[#This Row],[Attrition]]="Yes",Table1[[#This Row],[EstReplacementCost]],0)</f>
        <v>88686</v>
      </c>
    </row>
    <row r="1372" spans="1:36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47</v>
      </c>
      <c r="P1372">
        <v>2</v>
      </c>
      <c r="Q1372" t="s">
        <v>48</v>
      </c>
      <c r="R1372">
        <v>5467</v>
      </c>
      <c r="S1372">
        <v>2125</v>
      </c>
      <c r="T1372">
        <v>8</v>
      </c>
      <c r="U1372" t="s">
        <v>43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tr">
        <f>IF(Table1[[#This Row],[YearsAtCompany]]&lt;1,"0-1",IF(Table1[[#This Row],[YearsAtCompany]]&lt;=3,"1-3",IF(Table1[[#This Row],[YearsAtCompany]]&lt;=6,"4-6","7+")))</f>
        <v>7+</v>
      </c>
      <c r="AH1372">
        <f>Table1[[#This Row],[MonthlyIncome]]*12*0.75</f>
        <v>49203</v>
      </c>
      <c r="AI137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72">
        <f>IF(Table1[[#This Row],[Attrition]]="Yes",Table1[[#This Row],[EstReplacementCost]],0)</f>
        <v>0</v>
      </c>
    </row>
    <row r="1373" spans="1:36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48</v>
      </c>
      <c r="R1373">
        <v>5380</v>
      </c>
      <c r="S1373">
        <v>20328</v>
      </c>
      <c r="T1373">
        <v>4</v>
      </c>
      <c r="U1373" t="s">
        <v>43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tr">
        <f>IF(Table1[[#This Row],[YearsAtCompany]]&lt;1,"0-1",IF(Table1[[#This Row],[YearsAtCompany]]&lt;=3,"1-3",IF(Table1[[#This Row],[YearsAtCompany]]&lt;=6,"4-6","7+")))</f>
        <v>0-1</v>
      </c>
      <c r="AH1373">
        <f>Table1[[#This Row],[MonthlyIncome]]*12*0.75</f>
        <v>48420</v>
      </c>
      <c r="AI137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73">
        <f>IF(Table1[[#This Row],[Attrition]]="Yes",Table1[[#This Row],[EstReplacementCost]],0)</f>
        <v>0</v>
      </c>
    </row>
    <row r="1374" spans="1:36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53</v>
      </c>
      <c r="P1374">
        <v>1</v>
      </c>
      <c r="Q1374" t="s">
        <v>48</v>
      </c>
      <c r="R1374">
        <v>5151</v>
      </c>
      <c r="S1374">
        <v>12315</v>
      </c>
      <c r="T1374">
        <v>1</v>
      </c>
      <c r="U1374" t="s">
        <v>43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tr">
        <f>IF(Table1[[#This Row],[YearsAtCompany]]&lt;1,"0-1",IF(Table1[[#This Row],[YearsAtCompany]]&lt;=3,"1-3",IF(Table1[[#This Row],[YearsAtCompany]]&lt;=6,"4-6","7+")))</f>
        <v>7+</v>
      </c>
      <c r="AH1374">
        <f>Table1[[#This Row],[MonthlyIncome]]*12*0.75</f>
        <v>46359</v>
      </c>
      <c r="AI137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74">
        <f>IF(Table1[[#This Row],[Attrition]]="Yes",Table1[[#This Row],[EstReplacementCost]],0)</f>
        <v>0</v>
      </c>
    </row>
    <row r="1375" spans="1:36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47</v>
      </c>
      <c r="P1375">
        <v>2</v>
      </c>
      <c r="Q1375" t="s">
        <v>52</v>
      </c>
      <c r="R1375">
        <v>2133</v>
      </c>
      <c r="S1375">
        <v>18115</v>
      </c>
      <c r="T1375">
        <v>1</v>
      </c>
      <c r="U1375" t="s">
        <v>35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tr">
        <f>IF(Table1[[#This Row],[YearsAtCompany]]&lt;1,"0-1",IF(Table1[[#This Row],[YearsAtCompany]]&lt;=3,"1-3",IF(Table1[[#This Row],[YearsAtCompany]]&lt;=6,"4-6","7+")))</f>
        <v>7+</v>
      </c>
      <c r="AH1375">
        <f>Table1[[#This Row],[MonthlyIncome]]*12*0.75</f>
        <v>19197</v>
      </c>
      <c r="AI137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75">
        <f>IF(Table1[[#This Row],[Attrition]]="Yes",Table1[[#This Row],[EstReplacementCost]],0)</f>
        <v>0</v>
      </c>
    </row>
    <row r="1376" spans="1:36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56</v>
      </c>
      <c r="P1376">
        <v>4</v>
      </c>
      <c r="Q1376" t="s">
        <v>48</v>
      </c>
      <c r="R1376">
        <v>17875</v>
      </c>
      <c r="S1376">
        <v>11761</v>
      </c>
      <c r="T1376">
        <v>4</v>
      </c>
      <c r="U1376" t="s">
        <v>35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>
        <f>IF(Table1[[#This Row],[YearsAtCompany]]&lt;1,"0-1",IF(Table1[[#This Row],[YearsAtCompany]]&lt;=3,"1-3",IF(Table1[[#This Row],[YearsAtCompany]]&lt;=6,"4-6","7+")))</f>
        <v>1-3</v>
      </c>
      <c r="AH1376">
        <f>Table1[[#This Row],[MonthlyIncome]]*12*0.75</f>
        <v>160875</v>
      </c>
      <c r="AI137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76">
        <f>IF(Table1[[#This Row],[Attrition]]="Yes",Table1[[#This Row],[EstReplacementCost]],0)</f>
        <v>0</v>
      </c>
    </row>
    <row r="1377" spans="1:36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47</v>
      </c>
      <c r="P1377">
        <v>3</v>
      </c>
      <c r="Q1377" t="s">
        <v>41</v>
      </c>
      <c r="R1377">
        <v>2432</v>
      </c>
      <c r="S1377">
        <v>15318</v>
      </c>
      <c r="T1377">
        <v>3</v>
      </c>
      <c r="U1377" t="s">
        <v>35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tr">
        <f>IF(Table1[[#This Row],[YearsAtCompany]]&lt;1,"0-1",IF(Table1[[#This Row],[YearsAtCompany]]&lt;=3,"1-3",IF(Table1[[#This Row],[YearsAtCompany]]&lt;=6,"4-6","7+")))</f>
        <v>4-6</v>
      </c>
      <c r="AH1377">
        <f>Table1[[#This Row],[MonthlyIncome]]*12*0.75</f>
        <v>21888</v>
      </c>
      <c r="AI137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77">
        <f>IF(Table1[[#This Row],[Attrition]]="Yes",Table1[[#This Row],[EstReplacementCost]],0)</f>
        <v>21888</v>
      </c>
    </row>
    <row r="1378" spans="1:36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47</v>
      </c>
      <c r="P1378">
        <v>4</v>
      </c>
      <c r="Q1378" t="s">
        <v>52</v>
      </c>
      <c r="R1378">
        <v>4771</v>
      </c>
      <c r="S1378">
        <v>14293</v>
      </c>
      <c r="T1378">
        <v>2</v>
      </c>
      <c r="U1378" t="s">
        <v>43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tr">
        <f>IF(Table1[[#This Row],[YearsAtCompany]]&lt;1,"0-1",IF(Table1[[#This Row],[YearsAtCompany]]&lt;=3,"1-3",IF(Table1[[#This Row],[YearsAtCompany]]&lt;=6,"4-6","7+")))</f>
        <v>4-6</v>
      </c>
      <c r="AH1378">
        <f>Table1[[#This Row],[MonthlyIncome]]*12*0.75</f>
        <v>42939</v>
      </c>
      <c r="AI137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78">
        <f>IF(Table1[[#This Row],[Attrition]]="Yes",Table1[[#This Row],[EstReplacementCost]],0)</f>
        <v>0</v>
      </c>
    </row>
    <row r="1379" spans="1:36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58</v>
      </c>
      <c r="P1379">
        <v>4</v>
      </c>
      <c r="Q1379" t="s">
        <v>48</v>
      </c>
      <c r="R1379">
        <v>19161</v>
      </c>
      <c r="S1379">
        <v>13738</v>
      </c>
      <c r="T1379">
        <v>3</v>
      </c>
      <c r="U1379" t="s">
        <v>43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tr">
        <f>IF(Table1[[#This Row],[YearsAtCompany]]&lt;1,"0-1",IF(Table1[[#This Row],[YearsAtCompany]]&lt;=3,"1-3",IF(Table1[[#This Row],[YearsAtCompany]]&lt;=6,"4-6","7+")))</f>
        <v>4-6</v>
      </c>
      <c r="AH1379">
        <f>Table1[[#This Row],[MonthlyIncome]]*12*0.75</f>
        <v>172449</v>
      </c>
      <c r="AI137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79">
        <f>IF(Table1[[#This Row],[Attrition]]="Yes",Table1[[#This Row],[EstReplacementCost]],0)</f>
        <v>0</v>
      </c>
    </row>
    <row r="1380" spans="1:36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52</v>
      </c>
      <c r="R1380">
        <v>5087</v>
      </c>
      <c r="S1380">
        <v>2900</v>
      </c>
      <c r="T1380">
        <v>3</v>
      </c>
      <c r="U1380" t="s">
        <v>35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tr">
        <f>IF(Table1[[#This Row],[YearsAtCompany]]&lt;1,"0-1",IF(Table1[[#This Row],[YearsAtCompany]]&lt;=3,"1-3",IF(Table1[[#This Row],[YearsAtCompany]]&lt;=6,"4-6","7+")))</f>
        <v>0-1</v>
      </c>
      <c r="AH1380">
        <f>Table1[[#This Row],[MonthlyIncome]]*12*0.75</f>
        <v>45783</v>
      </c>
      <c r="AI138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80">
        <f>IF(Table1[[#This Row],[Attrition]]="Yes",Table1[[#This Row],[EstReplacementCost]],0)</f>
        <v>0</v>
      </c>
    </row>
    <row r="1381" spans="1:36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61</v>
      </c>
      <c r="P1381">
        <v>2</v>
      </c>
      <c r="Q1381" t="s">
        <v>48</v>
      </c>
      <c r="R1381">
        <v>2863</v>
      </c>
      <c r="S1381">
        <v>19555</v>
      </c>
      <c r="T1381">
        <v>1</v>
      </c>
      <c r="U1381" t="s">
        <v>43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>
        <f>IF(Table1[[#This Row],[YearsAtCompany]]&lt;1,"0-1",IF(Table1[[#This Row],[YearsAtCompany]]&lt;=3,"1-3",IF(Table1[[#This Row],[YearsAtCompany]]&lt;=6,"4-6","7+")))</f>
        <v>1-3</v>
      </c>
      <c r="AH1381">
        <f>Table1[[#This Row],[MonthlyIncome]]*12*0.75</f>
        <v>25767</v>
      </c>
      <c r="AI138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81">
        <f>IF(Table1[[#This Row],[Attrition]]="Yes",Table1[[#This Row],[EstReplacementCost]],0)</f>
        <v>25767</v>
      </c>
    </row>
    <row r="1382" spans="1:36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48</v>
      </c>
      <c r="R1382">
        <v>5561</v>
      </c>
      <c r="S1382">
        <v>15975</v>
      </c>
      <c r="T1382">
        <v>0</v>
      </c>
      <c r="U1382" t="s">
        <v>43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tr">
        <f>IF(Table1[[#This Row],[YearsAtCompany]]&lt;1,"0-1",IF(Table1[[#This Row],[YearsAtCompany]]&lt;=3,"1-3",IF(Table1[[#This Row],[YearsAtCompany]]&lt;=6,"4-6","7+")))</f>
        <v>4-6</v>
      </c>
      <c r="AH1382">
        <f>Table1[[#This Row],[MonthlyIncome]]*12*0.75</f>
        <v>50049</v>
      </c>
      <c r="AI138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82">
        <f>IF(Table1[[#This Row],[Attrition]]="Yes",Table1[[#This Row],[EstReplacementCost]],0)</f>
        <v>0</v>
      </c>
    </row>
    <row r="1383" spans="1:36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47</v>
      </c>
      <c r="P1383">
        <v>3</v>
      </c>
      <c r="Q1383" t="s">
        <v>41</v>
      </c>
      <c r="R1383">
        <v>2144</v>
      </c>
      <c r="S1383">
        <v>2122</v>
      </c>
      <c r="T1383">
        <v>1</v>
      </c>
      <c r="U1383" t="s">
        <v>43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tr">
        <f>IF(Table1[[#This Row],[YearsAtCompany]]&lt;1,"0-1",IF(Table1[[#This Row],[YearsAtCompany]]&lt;=3,"1-3",IF(Table1[[#This Row],[YearsAtCompany]]&lt;=6,"4-6","7+")))</f>
        <v>4-6</v>
      </c>
      <c r="AH1383">
        <f>Table1[[#This Row],[MonthlyIncome]]*12*0.75</f>
        <v>19296</v>
      </c>
      <c r="AI138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83">
        <f>IF(Table1[[#This Row],[Attrition]]="Yes",Table1[[#This Row],[EstReplacementCost]],0)</f>
        <v>0</v>
      </c>
    </row>
    <row r="1384" spans="1:36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47</v>
      </c>
      <c r="P1384">
        <v>1</v>
      </c>
      <c r="Q1384" t="s">
        <v>52</v>
      </c>
      <c r="R1384">
        <v>3065</v>
      </c>
      <c r="S1384">
        <v>3995</v>
      </c>
      <c r="T1384">
        <v>1</v>
      </c>
      <c r="U1384" t="s">
        <v>35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tr">
        <f>IF(Table1[[#This Row],[YearsAtCompany]]&lt;1,"0-1",IF(Table1[[#This Row],[YearsAtCompany]]&lt;=3,"1-3",IF(Table1[[#This Row],[YearsAtCompany]]&lt;=6,"4-6","7+")))</f>
        <v>4-6</v>
      </c>
      <c r="AH1384">
        <f>Table1[[#This Row],[MonthlyIncome]]*12*0.75</f>
        <v>27585</v>
      </c>
      <c r="AI138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84">
        <f>IF(Table1[[#This Row],[Attrition]]="Yes",Table1[[#This Row],[EstReplacementCost]],0)</f>
        <v>0</v>
      </c>
    </row>
    <row r="1385" spans="1:36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50</v>
      </c>
      <c r="P1385">
        <v>2</v>
      </c>
      <c r="Q1385" t="s">
        <v>48</v>
      </c>
      <c r="R1385">
        <v>2810</v>
      </c>
      <c r="S1385">
        <v>9238</v>
      </c>
      <c r="T1385">
        <v>1</v>
      </c>
      <c r="U1385" t="s">
        <v>43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tr">
        <f>IF(Table1[[#This Row],[YearsAtCompany]]&lt;1,"0-1",IF(Table1[[#This Row],[YearsAtCompany]]&lt;=3,"1-3",IF(Table1[[#This Row],[YearsAtCompany]]&lt;=6,"4-6","7+")))</f>
        <v>4-6</v>
      </c>
      <c r="AH1385">
        <f>Table1[[#This Row],[MonthlyIncome]]*12*0.75</f>
        <v>25290</v>
      </c>
      <c r="AI138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85">
        <f>IF(Table1[[#This Row],[Attrition]]="Yes",Table1[[#This Row],[EstReplacementCost]],0)</f>
        <v>0</v>
      </c>
    </row>
    <row r="1386" spans="1:36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>
        <v>9888</v>
      </c>
      <c r="S1386">
        <v>6770</v>
      </c>
      <c r="T1386">
        <v>1</v>
      </c>
      <c r="U1386" t="s">
        <v>43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tr">
        <f>IF(Table1[[#This Row],[YearsAtCompany]]&lt;1,"0-1",IF(Table1[[#This Row],[YearsAtCompany]]&lt;=3,"1-3",IF(Table1[[#This Row],[YearsAtCompany]]&lt;=6,"4-6","7+")))</f>
        <v>7+</v>
      </c>
      <c r="AH1386">
        <f>Table1[[#This Row],[MonthlyIncome]]*12*0.75</f>
        <v>88992</v>
      </c>
      <c r="AI138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86">
        <f>IF(Table1[[#This Row],[Attrition]]="Yes",Table1[[#This Row],[EstReplacementCost]],0)</f>
        <v>0</v>
      </c>
    </row>
    <row r="1387" spans="1:36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52</v>
      </c>
      <c r="R1387">
        <v>8628</v>
      </c>
      <c r="S1387">
        <v>22914</v>
      </c>
      <c r="T1387">
        <v>1</v>
      </c>
      <c r="U1387" t="s">
        <v>43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tr">
        <f>IF(Table1[[#This Row],[YearsAtCompany]]&lt;1,"0-1",IF(Table1[[#This Row],[YearsAtCompany]]&lt;=3,"1-3",IF(Table1[[#This Row],[YearsAtCompany]]&lt;=6,"4-6","7+")))</f>
        <v>7+</v>
      </c>
      <c r="AH1387">
        <f>Table1[[#This Row],[MonthlyIncome]]*12*0.75</f>
        <v>77652</v>
      </c>
      <c r="AI138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87">
        <f>IF(Table1[[#This Row],[Attrition]]="Yes",Table1[[#This Row],[EstReplacementCost]],0)</f>
        <v>0</v>
      </c>
    </row>
    <row r="1388" spans="1:36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50</v>
      </c>
      <c r="P1388">
        <v>1</v>
      </c>
      <c r="Q1388" t="s">
        <v>41</v>
      </c>
      <c r="R1388">
        <v>2867</v>
      </c>
      <c r="S1388">
        <v>20006</v>
      </c>
      <c r="T1388">
        <v>0</v>
      </c>
      <c r="U1388" t="s">
        <v>43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tr">
        <f>IF(Table1[[#This Row],[YearsAtCompany]]&lt;1,"0-1",IF(Table1[[#This Row],[YearsAtCompany]]&lt;=3,"1-3",IF(Table1[[#This Row],[YearsAtCompany]]&lt;=6,"4-6","7+")))</f>
        <v>7+</v>
      </c>
      <c r="AH1388">
        <f>Table1[[#This Row],[MonthlyIncome]]*12*0.75</f>
        <v>25803</v>
      </c>
      <c r="AI138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88">
        <f>IF(Table1[[#This Row],[Attrition]]="Yes",Table1[[#This Row],[EstReplacementCost]],0)</f>
        <v>0</v>
      </c>
    </row>
    <row r="1389" spans="1:36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54</v>
      </c>
      <c r="P1389">
        <v>1</v>
      </c>
      <c r="Q1389" t="s">
        <v>48</v>
      </c>
      <c r="R1389">
        <v>5373</v>
      </c>
      <c r="S1389">
        <v>6225</v>
      </c>
      <c r="T1389">
        <v>0</v>
      </c>
      <c r="U1389" t="s">
        <v>43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tr">
        <f>IF(Table1[[#This Row],[YearsAtCompany]]&lt;1,"0-1",IF(Table1[[#This Row],[YearsAtCompany]]&lt;=3,"1-3",IF(Table1[[#This Row],[YearsAtCompany]]&lt;=6,"4-6","7+")))</f>
        <v>4-6</v>
      </c>
      <c r="AH1389">
        <f>Table1[[#This Row],[MonthlyIncome]]*12*0.75</f>
        <v>48357</v>
      </c>
      <c r="AI138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89">
        <f>IF(Table1[[#This Row],[Attrition]]="Yes",Table1[[#This Row],[EstReplacementCost]],0)</f>
        <v>0</v>
      </c>
    </row>
    <row r="1390" spans="1:36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54</v>
      </c>
      <c r="P1390">
        <v>4</v>
      </c>
      <c r="Q1390" t="s">
        <v>52</v>
      </c>
      <c r="R1390">
        <v>6667</v>
      </c>
      <c r="S1390">
        <v>16542</v>
      </c>
      <c r="T1390">
        <v>5</v>
      </c>
      <c r="U1390" t="s">
        <v>43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tr">
        <f>IF(Table1[[#This Row],[YearsAtCompany]]&lt;1,"0-1",IF(Table1[[#This Row],[YearsAtCompany]]&lt;=3,"1-3",IF(Table1[[#This Row],[YearsAtCompany]]&lt;=6,"4-6","7+")))</f>
        <v>4-6</v>
      </c>
      <c r="AH1390">
        <f>Table1[[#This Row],[MonthlyIncome]]*12*0.75</f>
        <v>60003</v>
      </c>
      <c r="AI139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90">
        <f>IF(Table1[[#This Row],[Attrition]]="Yes",Table1[[#This Row],[EstReplacementCost]],0)</f>
        <v>0</v>
      </c>
    </row>
    <row r="1391" spans="1:36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47</v>
      </c>
      <c r="P1391">
        <v>1</v>
      </c>
      <c r="Q1391" t="s">
        <v>48</v>
      </c>
      <c r="R1391">
        <v>5003</v>
      </c>
      <c r="S1391">
        <v>5771</v>
      </c>
      <c r="T1391">
        <v>1</v>
      </c>
      <c r="U1391" t="s">
        <v>43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tr">
        <f>IF(Table1[[#This Row],[YearsAtCompany]]&lt;1,"0-1",IF(Table1[[#This Row],[YearsAtCompany]]&lt;=3,"1-3",IF(Table1[[#This Row],[YearsAtCompany]]&lt;=6,"4-6","7+")))</f>
        <v>7+</v>
      </c>
      <c r="AH1391">
        <f>Table1[[#This Row],[MonthlyIncome]]*12*0.75</f>
        <v>45027</v>
      </c>
      <c r="AI139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91">
        <f>IF(Table1[[#This Row],[Attrition]]="Yes",Table1[[#This Row],[EstReplacementCost]],0)</f>
        <v>0</v>
      </c>
    </row>
    <row r="1392" spans="1:36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50</v>
      </c>
      <c r="P1392">
        <v>4</v>
      </c>
      <c r="Q1392" t="s">
        <v>52</v>
      </c>
      <c r="R1392">
        <v>2367</v>
      </c>
      <c r="S1392">
        <v>18779</v>
      </c>
      <c r="T1392">
        <v>5</v>
      </c>
      <c r="U1392" t="s">
        <v>43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tr">
        <f>IF(Table1[[#This Row],[YearsAtCompany]]&lt;1,"0-1",IF(Table1[[#This Row],[YearsAtCompany]]&lt;=3,"1-3",IF(Table1[[#This Row],[YearsAtCompany]]&lt;=6,"4-6","7+")))</f>
        <v>4-6</v>
      </c>
      <c r="AH1392">
        <f>Table1[[#This Row],[MonthlyIncome]]*12*0.75</f>
        <v>21303</v>
      </c>
      <c r="AI139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92">
        <f>IF(Table1[[#This Row],[Attrition]]="Yes",Table1[[#This Row],[EstReplacementCost]],0)</f>
        <v>21303</v>
      </c>
    </row>
    <row r="1393" spans="1:36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57</v>
      </c>
      <c r="P1393">
        <v>1</v>
      </c>
      <c r="Q1393" t="s">
        <v>41</v>
      </c>
      <c r="R1393">
        <v>2858</v>
      </c>
      <c r="S1393">
        <v>11473</v>
      </c>
      <c r="T1393">
        <v>4</v>
      </c>
      <c r="U1393" t="s">
        <v>43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tr">
        <f>IF(Table1[[#This Row],[YearsAtCompany]]&lt;1,"0-1",IF(Table1[[#This Row],[YearsAtCompany]]&lt;=3,"1-3",IF(Table1[[#This Row],[YearsAtCompany]]&lt;=6,"4-6","7+")))</f>
        <v>1-3</v>
      </c>
      <c r="AH1393">
        <f>Table1[[#This Row],[MonthlyIncome]]*12*0.75</f>
        <v>25722</v>
      </c>
      <c r="AI139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93">
        <f>IF(Table1[[#This Row],[Attrition]]="Yes",Table1[[#This Row],[EstReplacementCost]],0)</f>
        <v>0</v>
      </c>
    </row>
    <row r="1394" spans="1:36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48</v>
      </c>
      <c r="R1394">
        <v>5204</v>
      </c>
      <c r="S1394">
        <v>13586</v>
      </c>
      <c r="T1394">
        <v>1</v>
      </c>
      <c r="U1394" t="s">
        <v>35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tr">
        <f>IF(Table1[[#This Row],[YearsAtCompany]]&lt;1,"0-1",IF(Table1[[#This Row],[YearsAtCompany]]&lt;=3,"1-3",IF(Table1[[#This Row],[YearsAtCompany]]&lt;=6,"4-6","7+")))</f>
        <v>7+</v>
      </c>
      <c r="AH1394">
        <f>Table1[[#This Row],[MonthlyIncome]]*12*0.75</f>
        <v>46836</v>
      </c>
      <c r="AI139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94">
        <f>IF(Table1[[#This Row],[Attrition]]="Yes",Table1[[#This Row],[EstReplacementCost]],0)</f>
        <v>0</v>
      </c>
    </row>
    <row r="1395" spans="1:36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>
        <v>4105</v>
      </c>
      <c r="S1395">
        <v>5099</v>
      </c>
      <c r="T1395">
        <v>1</v>
      </c>
      <c r="U1395" t="s">
        <v>43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tr">
        <f>IF(Table1[[#This Row],[YearsAtCompany]]&lt;1,"0-1",IF(Table1[[#This Row],[YearsAtCompany]]&lt;=3,"1-3",IF(Table1[[#This Row],[YearsAtCompany]]&lt;=6,"4-6","7+")))</f>
        <v>7+</v>
      </c>
      <c r="AH1395">
        <f>Table1[[#This Row],[MonthlyIncome]]*12*0.75</f>
        <v>36945</v>
      </c>
      <c r="AI139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95">
        <f>IF(Table1[[#This Row],[Attrition]]="Yes",Table1[[#This Row],[EstReplacementCost]],0)</f>
        <v>0</v>
      </c>
    </row>
    <row r="1396" spans="1:36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53</v>
      </c>
      <c r="P1396">
        <v>4</v>
      </c>
      <c r="Q1396" t="s">
        <v>41</v>
      </c>
      <c r="R1396">
        <v>9679</v>
      </c>
      <c r="S1396">
        <v>10138</v>
      </c>
      <c r="T1396">
        <v>8</v>
      </c>
      <c r="U1396" t="s">
        <v>43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tr">
        <f>IF(Table1[[#This Row],[YearsAtCompany]]&lt;1,"0-1",IF(Table1[[#This Row],[YearsAtCompany]]&lt;=3,"1-3",IF(Table1[[#This Row],[YearsAtCompany]]&lt;=6,"4-6","7+")))</f>
        <v>1-3</v>
      </c>
      <c r="AH1396">
        <f>Table1[[#This Row],[MonthlyIncome]]*12*0.75</f>
        <v>87111</v>
      </c>
      <c r="AI139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96">
        <f>IF(Table1[[#This Row],[Attrition]]="Yes",Table1[[#This Row],[EstReplacementCost]],0)</f>
        <v>0</v>
      </c>
    </row>
    <row r="1397" spans="1:36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48</v>
      </c>
      <c r="R1397">
        <v>5617</v>
      </c>
      <c r="S1397">
        <v>21075</v>
      </c>
      <c r="T1397">
        <v>1</v>
      </c>
      <c r="U1397" t="s">
        <v>35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tr">
        <f>IF(Table1[[#This Row],[YearsAtCompany]]&lt;1,"0-1",IF(Table1[[#This Row],[YearsAtCompany]]&lt;=3,"1-3",IF(Table1[[#This Row],[YearsAtCompany]]&lt;=6,"4-6","7+")))</f>
        <v>7+</v>
      </c>
      <c r="AH1397">
        <f>Table1[[#This Row],[MonthlyIncome]]*12*0.75</f>
        <v>50553</v>
      </c>
      <c r="AI139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397">
        <f>IF(Table1[[#This Row],[Attrition]]="Yes",Table1[[#This Row],[EstReplacementCost]],0)</f>
        <v>50553</v>
      </c>
    </row>
    <row r="1398" spans="1:36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>
        <v>10448</v>
      </c>
      <c r="S1398">
        <v>5843</v>
      </c>
      <c r="T1398">
        <v>6</v>
      </c>
      <c r="U1398" t="s">
        <v>35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tr">
        <f>IF(Table1[[#This Row],[YearsAtCompany]]&lt;1,"0-1",IF(Table1[[#This Row],[YearsAtCompany]]&lt;=3,"1-3",IF(Table1[[#This Row],[YearsAtCompany]]&lt;=6,"4-6","7+")))</f>
        <v>1-3</v>
      </c>
      <c r="AH1398">
        <f>Table1[[#This Row],[MonthlyIncome]]*12*0.75</f>
        <v>94032</v>
      </c>
      <c r="AI139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398">
        <f>IF(Table1[[#This Row],[Attrition]]="Yes",Table1[[#This Row],[EstReplacementCost]],0)</f>
        <v>94032</v>
      </c>
    </row>
    <row r="1399" spans="1:36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47</v>
      </c>
      <c r="P1399">
        <v>3</v>
      </c>
      <c r="Q1399" t="s">
        <v>48</v>
      </c>
      <c r="R1399">
        <v>2897</v>
      </c>
      <c r="S1399">
        <v>22474</v>
      </c>
      <c r="T1399">
        <v>3</v>
      </c>
      <c r="U1399" t="s">
        <v>43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tr">
        <f>IF(Table1[[#This Row],[YearsAtCompany]]&lt;1,"0-1",IF(Table1[[#This Row],[YearsAtCompany]]&lt;=3,"1-3",IF(Table1[[#This Row],[YearsAtCompany]]&lt;=6,"4-6","7+")))</f>
        <v>4-6</v>
      </c>
      <c r="AH1399">
        <f>Table1[[#This Row],[MonthlyIncome]]*12*0.75</f>
        <v>26073</v>
      </c>
      <c r="AI139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399">
        <f>IF(Table1[[#This Row],[Attrition]]="Yes",Table1[[#This Row],[EstReplacementCost]],0)</f>
        <v>0</v>
      </c>
    </row>
    <row r="1400" spans="1:36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54</v>
      </c>
      <c r="P1400">
        <v>3</v>
      </c>
      <c r="Q1400" t="s">
        <v>52</v>
      </c>
      <c r="R1400">
        <v>5968</v>
      </c>
      <c r="S1400">
        <v>18079</v>
      </c>
      <c r="T1400">
        <v>1</v>
      </c>
      <c r="U1400" t="s">
        <v>43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tr">
        <f>IF(Table1[[#This Row],[YearsAtCompany]]&lt;1,"0-1",IF(Table1[[#This Row],[YearsAtCompany]]&lt;=3,"1-3",IF(Table1[[#This Row],[YearsAtCompany]]&lt;=6,"4-6","7+")))</f>
        <v>7+</v>
      </c>
      <c r="AH1400">
        <f>Table1[[#This Row],[MonthlyIncome]]*12*0.75</f>
        <v>53712</v>
      </c>
      <c r="AI140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00">
        <f>IF(Table1[[#This Row],[Attrition]]="Yes",Table1[[#This Row],[EstReplacementCost]],0)</f>
        <v>0</v>
      </c>
    </row>
    <row r="1401" spans="1:36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54</v>
      </c>
      <c r="P1401">
        <v>3</v>
      </c>
      <c r="Q1401" t="s">
        <v>48</v>
      </c>
      <c r="R1401">
        <v>7510</v>
      </c>
      <c r="S1401">
        <v>16873</v>
      </c>
      <c r="T1401">
        <v>1</v>
      </c>
      <c r="U1401" t="s">
        <v>43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tr">
        <f>IF(Table1[[#This Row],[YearsAtCompany]]&lt;1,"0-1",IF(Table1[[#This Row],[YearsAtCompany]]&lt;=3,"1-3",IF(Table1[[#This Row],[YearsAtCompany]]&lt;=6,"4-6","7+")))</f>
        <v>7+</v>
      </c>
      <c r="AH1401">
        <f>Table1[[#This Row],[MonthlyIncome]]*12*0.75</f>
        <v>67590</v>
      </c>
      <c r="AI140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01">
        <f>IF(Table1[[#This Row],[Attrition]]="Yes",Table1[[#This Row],[EstReplacementCost]],0)</f>
        <v>0</v>
      </c>
    </row>
    <row r="1402" spans="1:36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61</v>
      </c>
      <c r="P1402">
        <v>2</v>
      </c>
      <c r="Q1402" t="s">
        <v>48</v>
      </c>
      <c r="R1402">
        <v>2991</v>
      </c>
      <c r="S1402">
        <v>5224</v>
      </c>
      <c r="T1402">
        <v>0</v>
      </c>
      <c r="U1402" t="s">
        <v>35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tr">
        <f>IF(Table1[[#This Row],[YearsAtCompany]]&lt;1,"0-1",IF(Table1[[#This Row],[YearsAtCompany]]&lt;=3,"1-3",IF(Table1[[#This Row],[YearsAtCompany]]&lt;=6,"4-6","7+")))</f>
        <v>4-6</v>
      </c>
      <c r="AH1402">
        <f>Table1[[#This Row],[MonthlyIncome]]*12*0.75</f>
        <v>26919</v>
      </c>
      <c r="AI140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02">
        <f>IF(Table1[[#This Row],[Attrition]]="Yes",Table1[[#This Row],[EstReplacementCost]],0)</f>
        <v>0</v>
      </c>
    </row>
    <row r="1403" spans="1:36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56</v>
      </c>
      <c r="P1403">
        <v>2</v>
      </c>
      <c r="Q1403" t="s">
        <v>48</v>
      </c>
      <c r="R1403">
        <v>19636</v>
      </c>
      <c r="S1403">
        <v>25811</v>
      </c>
      <c r="T1403">
        <v>4</v>
      </c>
      <c r="U1403" t="s">
        <v>35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tr">
        <f>IF(Table1[[#This Row],[YearsAtCompany]]&lt;1,"0-1",IF(Table1[[#This Row],[YearsAtCompany]]&lt;=3,"1-3",IF(Table1[[#This Row],[YearsAtCompany]]&lt;=6,"4-6","7+")))</f>
        <v>7+</v>
      </c>
      <c r="AH1403">
        <f>Table1[[#This Row],[MonthlyIncome]]*12*0.75</f>
        <v>176724</v>
      </c>
      <c r="AI140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03">
        <f>IF(Table1[[#This Row],[Attrition]]="Yes",Table1[[#This Row],[EstReplacementCost]],0)</f>
        <v>0</v>
      </c>
    </row>
    <row r="1404" spans="1:36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50</v>
      </c>
      <c r="P1404">
        <v>4</v>
      </c>
      <c r="Q1404" t="s">
        <v>52</v>
      </c>
      <c r="R1404">
        <v>1129</v>
      </c>
      <c r="S1404">
        <v>17536</v>
      </c>
      <c r="T1404">
        <v>1</v>
      </c>
      <c r="U1404" t="s">
        <v>35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>
        <f>IF(Table1[[#This Row],[YearsAtCompany]]&lt;1,"0-1",IF(Table1[[#This Row],[YearsAtCompany]]&lt;=3,"1-3",IF(Table1[[#This Row],[YearsAtCompany]]&lt;=6,"4-6","7+")))</f>
        <v>1-3</v>
      </c>
      <c r="AH1404">
        <f>Table1[[#This Row],[MonthlyIncome]]*12*0.75</f>
        <v>10161</v>
      </c>
      <c r="AI140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04">
        <f>IF(Table1[[#This Row],[Attrition]]="Yes",Table1[[#This Row],[EstReplacementCost]],0)</f>
        <v>0</v>
      </c>
    </row>
    <row r="1405" spans="1:36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>
        <v>13341</v>
      </c>
      <c r="S1405">
        <v>25098</v>
      </c>
      <c r="T1405">
        <v>0</v>
      </c>
      <c r="U1405" t="s">
        <v>43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tr">
        <f>IF(Table1[[#This Row],[YearsAtCompany]]&lt;1,"0-1",IF(Table1[[#This Row],[YearsAtCompany]]&lt;=3,"1-3",IF(Table1[[#This Row],[YearsAtCompany]]&lt;=6,"4-6","7+")))</f>
        <v>7+</v>
      </c>
      <c r="AH1405">
        <f>Table1[[#This Row],[MonthlyIncome]]*12*0.75</f>
        <v>120069</v>
      </c>
      <c r="AI140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05">
        <f>IF(Table1[[#This Row],[Attrition]]="Yes",Table1[[#This Row],[EstReplacementCost]],0)</f>
        <v>0</v>
      </c>
    </row>
    <row r="1406" spans="1:36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47</v>
      </c>
      <c r="P1406">
        <v>3</v>
      </c>
      <c r="Q1406" t="s">
        <v>41</v>
      </c>
      <c r="R1406">
        <v>4332</v>
      </c>
      <c r="S1406">
        <v>14811</v>
      </c>
      <c r="T1406">
        <v>1</v>
      </c>
      <c r="U1406" t="s">
        <v>43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tr">
        <f>IF(Table1[[#This Row],[YearsAtCompany]]&lt;1,"0-1",IF(Table1[[#This Row],[YearsAtCompany]]&lt;=3,"1-3",IF(Table1[[#This Row],[YearsAtCompany]]&lt;=6,"4-6","7+")))</f>
        <v>7+</v>
      </c>
      <c r="AH1406">
        <f>Table1[[#This Row],[MonthlyIncome]]*12*0.75</f>
        <v>38988</v>
      </c>
      <c r="AI140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06">
        <f>IF(Table1[[#This Row],[Attrition]]="Yes",Table1[[#This Row],[EstReplacementCost]],0)</f>
        <v>0</v>
      </c>
    </row>
    <row r="1407" spans="1:36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58</v>
      </c>
      <c r="P1407">
        <v>3</v>
      </c>
      <c r="Q1407" t="s">
        <v>48</v>
      </c>
      <c r="R1407">
        <v>11031</v>
      </c>
      <c r="S1407">
        <v>26862</v>
      </c>
      <c r="T1407">
        <v>4</v>
      </c>
      <c r="U1407" t="s">
        <v>43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tr">
        <f>IF(Table1[[#This Row],[YearsAtCompany]]&lt;1,"0-1",IF(Table1[[#This Row],[YearsAtCompany]]&lt;=3,"1-3",IF(Table1[[#This Row],[YearsAtCompany]]&lt;=6,"4-6","7+")))</f>
        <v>7+</v>
      </c>
      <c r="AH1407">
        <f>Table1[[#This Row],[MonthlyIncome]]*12*0.75</f>
        <v>99279</v>
      </c>
      <c r="AI140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07">
        <f>IF(Table1[[#This Row],[Attrition]]="Yes",Table1[[#This Row],[EstReplacementCost]],0)</f>
        <v>0</v>
      </c>
    </row>
    <row r="1408" spans="1:36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53</v>
      </c>
      <c r="P1408">
        <v>1</v>
      </c>
      <c r="Q1408" t="s">
        <v>41</v>
      </c>
      <c r="R1408">
        <v>4440</v>
      </c>
      <c r="S1408">
        <v>25198</v>
      </c>
      <c r="T1408">
        <v>6</v>
      </c>
      <c r="U1408" t="s">
        <v>35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tr">
        <f>IF(Table1[[#This Row],[YearsAtCompany]]&lt;1,"0-1",IF(Table1[[#This Row],[YearsAtCompany]]&lt;=3,"1-3",IF(Table1[[#This Row],[YearsAtCompany]]&lt;=6,"4-6","7+")))</f>
        <v>4-6</v>
      </c>
      <c r="AH1408">
        <f>Table1[[#This Row],[MonthlyIncome]]*12*0.75</f>
        <v>39960</v>
      </c>
      <c r="AI140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08">
        <f>IF(Table1[[#This Row],[Attrition]]="Yes",Table1[[#This Row],[EstReplacementCost]],0)</f>
        <v>0</v>
      </c>
    </row>
    <row r="1409" spans="1:36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54</v>
      </c>
      <c r="P1409">
        <v>3</v>
      </c>
      <c r="Q1409" t="s">
        <v>41</v>
      </c>
      <c r="R1409">
        <v>4617</v>
      </c>
      <c r="S1409">
        <v>14120</v>
      </c>
      <c r="T1409">
        <v>1</v>
      </c>
      <c r="U1409" t="s">
        <v>43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tr">
        <f>IF(Table1[[#This Row],[YearsAtCompany]]&lt;1,"0-1",IF(Table1[[#This Row],[YearsAtCompany]]&lt;=3,"1-3",IF(Table1[[#This Row],[YearsAtCompany]]&lt;=6,"4-6","7+")))</f>
        <v>4-6</v>
      </c>
      <c r="AH1409">
        <f>Table1[[#This Row],[MonthlyIncome]]*12*0.75</f>
        <v>41553</v>
      </c>
      <c r="AI140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09">
        <f>IF(Table1[[#This Row],[Attrition]]="Yes",Table1[[#This Row],[EstReplacementCost]],0)</f>
        <v>0</v>
      </c>
    </row>
    <row r="1410" spans="1:36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50</v>
      </c>
      <c r="P1410">
        <v>4</v>
      </c>
      <c r="Q1410" t="s">
        <v>41</v>
      </c>
      <c r="R1410">
        <v>2647</v>
      </c>
      <c r="S1410">
        <v>13672</v>
      </c>
      <c r="T1410">
        <v>1</v>
      </c>
      <c r="U1410" t="s">
        <v>43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tr">
        <f>IF(Table1[[#This Row],[YearsAtCompany]]&lt;1,"0-1",IF(Table1[[#This Row],[YearsAtCompany]]&lt;=3,"1-3",IF(Table1[[#This Row],[YearsAtCompany]]&lt;=6,"4-6","7+")))</f>
        <v>4-6</v>
      </c>
      <c r="AH1410">
        <f>Table1[[#This Row],[MonthlyIncome]]*12*0.75</f>
        <v>23823</v>
      </c>
      <c r="AI141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10">
        <f>IF(Table1[[#This Row],[Attrition]]="Yes",Table1[[#This Row],[EstReplacementCost]],0)</f>
        <v>0</v>
      </c>
    </row>
    <row r="1411" spans="1:36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50</v>
      </c>
      <c r="P1411">
        <v>3</v>
      </c>
      <c r="Q1411" t="s">
        <v>48</v>
      </c>
      <c r="R1411">
        <v>6323</v>
      </c>
      <c r="S1411">
        <v>26849</v>
      </c>
      <c r="T1411">
        <v>1</v>
      </c>
      <c r="U1411" t="s">
        <v>43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tr">
        <f>IF(Table1[[#This Row],[YearsAtCompany]]&lt;1,"0-1",IF(Table1[[#This Row],[YearsAtCompany]]&lt;=3,"1-3",IF(Table1[[#This Row],[YearsAtCompany]]&lt;=6,"4-6","7+")))</f>
        <v>7+</v>
      </c>
      <c r="AH1411">
        <f>Table1[[#This Row],[MonthlyIncome]]*12*0.75</f>
        <v>56907</v>
      </c>
      <c r="AI141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11">
        <f>IF(Table1[[#This Row],[Attrition]]="Yes",Table1[[#This Row],[EstReplacementCost]],0)</f>
        <v>0</v>
      </c>
    </row>
    <row r="1412" spans="1:36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48</v>
      </c>
      <c r="R1412">
        <v>5677</v>
      </c>
      <c r="S1412">
        <v>4258</v>
      </c>
      <c r="T1412">
        <v>3</v>
      </c>
      <c r="U1412" t="s">
        <v>43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tr">
        <f>IF(Table1[[#This Row],[YearsAtCompany]]&lt;1,"0-1",IF(Table1[[#This Row],[YearsAtCompany]]&lt;=3,"1-3",IF(Table1[[#This Row],[YearsAtCompany]]&lt;=6,"4-6","7+")))</f>
        <v>7+</v>
      </c>
      <c r="AH1412">
        <f>Table1[[#This Row],[MonthlyIncome]]*12*0.75</f>
        <v>51093</v>
      </c>
      <c r="AI141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12">
        <f>IF(Table1[[#This Row],[Attrition]]="Yes",Table1[[#This Row],[EstReplacementCost]],0)</f>
        <v>0</v>
      </c>
    </row>
    <row r="1413" spans="1:36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61</v>
      </c>
      <c r="P1413">
        <v>2</v>
      </c>
      <c r="Q1413" t="s">
        <v>48</v>
      </c>
      <c r="R1413">
        <v>2187</v>
      </c>
      <c r="S1413">
        <v>19655</v>
      </c>
      <c r="T1413">
        <v>4</v>
      </c>
      <c r="U1413" t="s">
        <v>43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tr">
        <f>IF(Table1[[#This Row],[YearsAtCompany]]&lt;1,"0-1",IF(Table1[[#This Row],[YearsAtCompany]]&lt;=3,"1-3",IF(Table1[[#This Row],[YearsAtCompany]]&lt;=6,"4-6","7+")))</f>
        <v>1-3</v>
      </c>
      <c r="AH1413">
        <f>Table1[[#This Row],[MonthlyIncome]]*12*0.75</f>
        <v>19683</v>
      </c>
      <c r="AI141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13">
        <f>IF(Table1[[#This Row],[Attrition]]="Yes",Table1[[#This Row],[EstReplacementCost]],0)</f>
        <v>0</v>
      </c>
    </row>
    <row r="1414" spans="1:36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50</v>
      </c>
      <c r="P1414">
        <v>2</v>
      </c>
      <c r="Q1414" t="s">
        <v>48</v>
      </c>
      <c r="R1414">
        <v>3748</v>
      </c>
      <c r="S1414">
        <v>4077</v>
      </c>
      <c r="T1414">
        <v>1</v>
      </c>
      <c r="U1414" t="s">
        <v>43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tr">
        <f>IF(Table1[[#This Row],[YearsAtCompany]]&lt;1,"0-1",IF(Table1[[#This Row],[YearsAtCompany]]&lt;=3,"1-3",IF(Table1[[#This Row],[YearsAtCompany]]&lt;=6,"4-6","7+")))</f>
        <v>7+</v>
      </c>
      <c r="AH1414">
        <f>Table1[[#This Row],[MonthlyIncome]]*12*0.75</f>
        <v>33732</v>
      </c>
      <c r="AI141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14">
        <f>IF(Table1[[#This Row],[Attrition]]="Yes",Table1[[#This Row],[EstReplacementCost]],0)</f>
        <v>0</v>
      </c>
    </row>
    <row r="1415" spans="1:36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50</v>
      </c>
      <c r="P1415">
        <v>3</v>
      </c>
      <c r="Q1415" t="s">
        <v>52</v>
      </c>
      <c r="R1415">
        <v>3977</v>
      </c>
      <c r="S1415">
        <v>7298</v>
      </c>
      <c r="T1415">
        <v>6</v>
      </c>
      <c r="U1415" t="s">
        <v>35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tr">
        <f>IF(Table1[[#This Row],[YearsAtCompany]]&lt;1,"0-1",IF(Table1[[#This Row],[YearsAtCompany]]&lt;=3,"1-3",IF(Table1[[#This Row],[YearsAtCompany]]&lt;=6,"4-6","7+")))</f>
        <v>1-3</v>
      </c>
      <c r="AH1415">
        <f>Table1[[#This Row],[MonthlyIncome]]*12*0.75</f>
        <v>35793</v>
      </c>
      <c r="AI141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15">
        <f>IF(Table1[[#This Row],[Attrition]]="Yes",Table1[[#This Row],[EstReplacementCost]],0)</f>
        <v>0</v>
      </c>
    </row>
    <row r="1416" spans="1:36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54</v>
      </c>
      <c r="P1416">
        <v>3</v>
      </c>
      <c r="Q1416" t="s">
        <v>41</v>
      </c>
      <c r="R1416">
        <v>8633</v>
      </c>
      <c r="S1416">
        <v>13084</v>
      </c>
      <c r="T1416">
        <v>2</v>
      </c>
      <c r="U1416" t="s">
        <v>43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tr">
        <f>IF(Table1[[#This Row],[YearsAtCompany]]&lt;1,"0-1",IF(Table1[[#This Row],[YearsAtCompany]]&lt;=3,"1-3",IF(Table1[[#This Row],[YearsAtCompany]]&lt;=6,"4-6","7+")))</f>
        <v>7+</v>
      </c>
      <c r="AH1416">
        <f>Table1[[#This Row],[MonthlyIncome]]*12*0.75</f>
        <v>77697</v>
      </c>
      <c r="AI141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16">
        <f>IF(Table1[[#This Row],[Attrition]]="Yes",Table1[[#This Row],[EstReplacementCost]],0)</f>
        <v>0</v>
      </c>
    </row>
    <row r="1417" spans="1:36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50</v>
      </c>
      <c r="P1417">
        <v>3</v>
      </c>
      <c r="Q1417" t="s">
        <v>52</v>
      </c>
      <c r="R1417">
        <v>2008</v>
      </c>
      <c r="S1417">
        <v>20439</v>
      </c>
      <c r="T1417">
        <v>1</v>
      </c>
      <c r="U1417" t="s">
        <v>43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tr">
        <f>IF(Table1[[#This Row],[YearsAtCompany]]&lt;1,"0-1",IF(Table1[[#This Row],[YearsAtCompany]]&lt;=3,"1-3",IF(Table1[[#This Row],[YearsAtCompany]]&lt;=6,"4-6","7+")))</f>
        <v>1-3</v>
      </c>
      <c r="AH1417">
        <f>Table1[[#This Row],[MonthlyIncome]]*12*0.75</f>
        <v>18072</v>
      </c>
      <c r="AI141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17">
        <f>IF(Table1[[#This Row],[Attrition]]="Yes",Table1[[#This Row],[EstReplacementCost]],0)</f>
        <v>0</v>
      </c>
    </row>
    <row r="1418" spans="1:36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48</v>
      </c>
      <c r="R1418">
        <v>4440</v>
      </c>
      <c r="S1418">
        <v>7636</v>
      </c>
      <c r="T1418">
        <v>0</v>
      </c>
      <c r="U1418" t="s">
        <v>43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tr">
        <f>IF(Table1[[#This Row],[YearsAtCompany]]&lt;1,"0-1",IF(Table1[[#This Row],[YearsAtCompany]]&lt;=3,"1-3",IF(Table1[[#This Row],[YearsAtCompany]]&lt;=6,"4-6","7+")))</f>
        <v>7+</v>
      </c>
      <c r="AH1418">
        <f>Table1[[#This Row],[MonthlyIncome]]*12*0.75</f>
        <v>39960</v>
      </c>
      <c r="AI141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18">
        <f>IF(Table1[[#This Row],[Attrition]]="Yes",Table1[[#This Row],[EstReplacementCost]],0)</f>
        <v>0</v>
      </c>
    </row>
    <row r="1419" spans="1:36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57</v>
      </c>
      <c r="P1419">
        <v>3</v>
      </c>
      <c r="Q1419" t="s">
        <v>48</v>
      </c>
      <c r="R1419">
        <v>3067</v>
      </c>
      <c r="S1419">
        <v>6393</v>
      </c>
      <c r="T1419">
        <v>0</v>
      </c>
      <c r="U1419" t="s">
        <v>43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tr">
        <f>IF(Table1[[#This Row],[YearsAtCompany]]&lt;1,"0-1",IF(Table1[[#This Row],[YearsAtCompany]]&lt;=3,"1-3",IF(Table1[[#This Row],[YearsAtCompany]]&lt;=6,"4-6","7+")))</f>
        <v>1-3</v>
      </c>
      <c r="AH1419">
        <f>Table1[[#This Row],[MonthlyIncome]]*12*0.75</f>
        <v>27603</v>
      </c>
      <c r="AI141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19">
        <f>IF(Table1[[#This Row],[Attrition]]="Yes",Table1[[#This Row],[EstReplacementCost]],0)</f>
        <v>0</v>
      </c>
    </row>
    <row r="1420" spans="1:36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53</v>
      </c>
      <c r="P1420">
        <v>3</v>
      </c>
      <c r="Q1420" t="s">
        <v>48</v>
      </c>
      <c r="R1420">
        <v>5321</v>
      </c>
      <c r="S1420">
        <v>14284</v>
      </c>
      <c r="T1420">
        <v>2</v>
      </c>
      <c r="U1420" t="s">
        <v>43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tr">
        <f>IF(Table1[[#This Row],[YearsAtCompany]]&lt;1,"0-1",IF(Table1[[#This Row],[YearsAtCompany]]&lt;=3,"1-3",IF(Table1[[#This Row],[YearsAtCompany]]&lt;=6,"4-6","7+")))</f>
        <v>7+</v>
      </c>
      <c r="AH1420">
        <f>Table1[[#This Row],[MonthlyIncome]]*12*0.75</f>
        <v>47889</v>
      </c>
      <c r="AI142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20">
        <f>IF(Table1[[#This Row],[Attrition]]="Yes",Table1[[#This Row],[EstReplacementCost]],0)</f>
        <v>0</v>
      </c>
    </row>
    <row r="1421" spans="1:36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47</v>
      </c>
      <c r="P1421">
        <v>1</v>
      </c>
      <c r="Q1421" t="s">
        <v>52</v>
      </c>
      <c r="R1421">
        <v>5410</v>
      </c>
      <c r="S1421">
        <v>11189</v>
      </c>
      <c r="T1421">
        <v>6</v>
      </c>
      <c r="U1421" t="s">
        <v>35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tr">
        <f>IF(Table1[[#This Row],[YearsAtCompany]]&lt;1,"0-1",IF(Table1[[#This Row],[YearsAtCompany]]&lt;=3,"1-3",IF(Table1[[#This Row],[YearsAtCompany]]&lt;=6,"4-6","7+")))</f>
        <v>4-6</v>
      </c>
      <c r="AH1421">
        <f>Table1[[#This Row],[MonthlyIncome]]*12*0.75</f>
        <v>48690</v>
      </c>
      <c r="AI142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21">
        <f>IF(Table1[[#This Row],[Attrition]]="Yes",Table1[[#This Row],[EstReplacementCost]],0)</f>
        <v>0</v>
      </c>
    </row>
    <row r="1422" spans="1:36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47</v>
      </c>
      <c r="P1422">
        <v>4</v>
      </c>
      <c r="Q1422" t="s">
        <v>48</v>
      </c>
      <c r="R1422">
        <v>2782</v>
      </c>
      <c r="S1422">
        <v>21412</v>
      </c>
      <c r="T1422">
        <v>3</v>
      </c>
      <c r="U1422" t="s">
        <v>43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tr">
        <f>IF(Table1[[#This Row],[YearsAtCompany]]&lt;1,"0-1",IF(Table1[[#This Row],[YearsAtCompany]]&lt;=3,"1-3",IF(Table1[[#This Row],[YearsAtCompany]]&lt;=6,"4-6","7+")))</f>
        <v>4-6</v>
      </c>
      <c r="AH1422">
        <f>Table1[[#This Row],[MonthlyIncome]]*12*0.75</f>
        <v>25038</v>
      </c>
      <c r="AI142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22">
        <f>IF(Table1[[#This Row],[Attrition]]="Yes",Table1[[#This Row],[EstReplacementCost]],0)</f>
        <v>0</v>
      </c>
    </row>
    <row r="1423" spans="1:36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58</v>
      </c>
      <c r="P1423">
        <v>2</v>
      </c>
      <c r="Q1423" t="s">
        <v>48</v>
      </c>
      <c r="R1423">
        <v>11957</v>
      </c>
      <c r="S1423">
        <v>17231</v>
      </c>
      <c r="T1423">
        <v>0</v>
      </c>
      <c r="U1423" t="s">
        <v>43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tr">
        <f>IF(Table1[[#This Row],[YearsAtCompany]]&lt;1,"0-1",IF(Table1[[#This Row],[YearsAtCompany]]&lt;=3,"1-3",IF(Table1[[#This Row],[YearsAtCompany]]&lt;=6,"4-6","7+")))</f>
        <v>7+</v>
      </c>
      <c r="AH1423">
        <f>Table1[[#This Row],[MonthlyIncome]]*12*0.75</f>
        <v>107613</v>
      </c>
      <c r="AI142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23">
        <f>IF(Table1[[#This Row],[Attrition]]="Yes",Table1[[#This Row],[EstReplacementCost]],0)</f>
        <v>0</v>
      </c>
    </row>
    <row r="1424" spans="1:36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50</v>
      </c>
      <c r="P1424">
        <v>3</v>
      </c>
      <c r="Q1424" t="s">
        <v>48</v>
      </c>
      <c r="R1424">
        <v>2660</v>
      </c>
      <c r="S1424">
        <v>20232</v>
      </c>
      <c r="T1424">
        <v>7</v>
      </c>
      <c r="U1424" t="s">
        <v>35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tr">
        <f>IF(Table1[[#This Row],[YearsAtCompany]]&lt;1,"0-1",IF(Table1[[#This Row],[YearsAtCompany]]&lt;=3,"1-3",IF(Table1[[#This Row],[YearsAtCompany]]&lt;=6,"4-6","7+")))</f>
        <v>1-3</v>
      </c>
      <c r="AH1424">
        <f>Table1[[#This Row],[MonthlyIncome]]*12*0.75</f>
        <v>23940</v>
      </c>
      <c r="AI142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24">
        <f>IF(Table1[[#This Row],[Attrition]]="Yes",Table1[[#This Row],[EstReplacementCost]],0)</f>
        <v>0</v>
      </c>
    </row>
    <row r="1425" spans="1:36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47</v>
      </c>
      <c r="P1425">
        <v>3</v>
      </c>
      <c r="Q1425" t="s">
        <v>41</v>
      </c>
      <c r="R1425">
        <v>3375</v>
      </c>
      <c r="S1425">
        <v>17624</v>
      </c>
      <c r="T1425">
        <v>0</v>
      </c>
      <c r="U1425" t="s">
        <v>43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tr">
        <f>IF(Table1[[#This Row],[YearsAtCompany]]&lt;1,"0-1",IF(Table1[[#This Row],[YearsAtCompany]]&lt;=3,"1-3",IF(Table1[[#This Row],[YearsAtCompany]]&lt;=6,"4-6","7+")))</f>
        <v>1-3</v>
      </c>
      <c r="AH1425">
        <f>Table1[[#This Row],[MonthlyIncome]]*12*0.75</f>
        <v>30375</v>
      </c>
      <c r="AI142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25">
        <f>IF(Table1[[#This Row],[Attrition]]="Yes",Table1[[#This Row],[EstReplacementCost]],0)</f>
        <v>0</v>
      </c>
    </row>
    <row r="1426" spans="1:36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47</v>
      </c>
      <c r="P1426">
        <v>3</v>
      </c>
      <c r="Q1426" t="s">
        <v>41</v>
      </c>
      <c r="R1426">
        <v>5098</v>
      </c>
      <c r="S1426">
        <v>18698</v>
      </c>
      <c r="T1426">
        <v>1</v>
      </c>
      <c r="U1426" t="s">
        <v>43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tr">
        <f>IF(Table1[[#This Row],[YearsAtCompany]]&lt;1,"0-1",IF(Table1[[#This Row],[YearsAtCompany]]&lt;=3,"1-3",IF(Table1[[#This Row],[YearsAtCompany]]&lt;=6,"4-6","7+")))</f>
        <v>7+</v>
      </c>
      <c r="AH1426">
        <f>Table1[[#This Row],[MonthlyIncome]]*12*0.75</f>
        <v>45882</v>
      </c>
      <c r="AI142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26">
        <f>IF(Table1[[#This Row],[Attrition]]="Yes",Table1[[#This Row],[EstReplacementCost]],0)</f>
        <v>0</v>
      </c>
    </row>
    <row r="1427" spans="1:36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54</v>
      </c>
      <c r="P1427">
        <v>4</v>
      </c>
      <c r="Q1427" t="s">
        <v>48</v>
      </c>
      <c r="R1427">
        <v>4878</v>
      </c>
      <c r="S1427">
        <v>21653</v>
      </c>
      <c r="T1427">
        <v>0</v>
      </c>
      <c r="U1427" t="s">
        <v>35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tr">
        <f>IF(Table1[[#This Row],[YearsAtCompany]]&lt;1,"0-1",IF(Table1[[#This Row],[YearsAtCompany]]&lt;=3,"1-3",IF(Table1[[#This Row],[YearsAtCompany]]&lt;=6,"4-6","7+")))</f>
        <v>7+</v>
      </c>
      <c r="AH1427">
        <f>Table1[[#This Row],[MonthlyIncome]]*12*0.75</f>
        <v>43902</v>
      </c>
      <c r="AI142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27">
        <f>IF(Table1[[#This Row],[Attrition]]="Yes",Table1[[#This Row],[EstReplacementCost]],0)</f>
        <v>0</v>
      </c>
    </row>
    <row r="1428" spans="1:36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50</v>
      </c>
      <c r="P1428">
        <v>2</v>
      </c>
      <c r="Q1428" t="s">
        <v>41</v>
      </c>
      <c r="R1428">
        <v>2837</v>
      </c>
      <c r="S1428">
        <v>15919</v>
      </c>
      <c r="T1428">
        <v>1</v>
      </c>
      <c r="U1428" t="s">
        <v>43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tr">
        <f>IF(Table1[[#This Row],[YearsAtCompany]]&lt;1,"0-1",IF(Table1[[#This Row],[YearsAtCompany]]&lt;=3,"1-3",IF(Table1[[#This Row],[YearsAtCompany]]&lt;=6,"4-6","7+")))</f>
        <v>4-6</v>
      </c>
      <c r="AH1428">
        <f>Table1[[#This Row],[MonthlyIncome]]*12*0.75</f>
        <v>25533</v>
      </c>
      <c r="AI142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28">
        <f>IF(Table1[[#This Row],[Attrition]]="Yes",Table1[[#This Row],[EstReplacementCost]],0)</f>
        <v>0</v>
      </c>
    </row>
    <row r="1429" spans="1:36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50</v>
      </c>
      <c r="P1429">
        <v>4</v>
      </c>
      <c r="Q1429" t="s">
        <v>48</v>
      </c>
      <c r="R1429">
        <v>2406</v>
      </c>
      <c r="S1429">
        <v>4060</v>
      </c>
      <c r="T1429">
        <v>8</v>
      </c>
      <c r="U1429" t="s">
        <v>43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tr">
        <f>IF(Table1[[#This Row],[YearsAtCompany]]&lt;1,"0-1",IF(Table1[[#This Row],[YearsAtCompany]]&lt;=3,"1-3",IF(Table1[[#This Row],[YearsAtCompany]]&lt;=6,"4-6","7+")))</f>
        <v>1-3</v>
      </c>
      <c r="AH1429">
        <f>Table1[[#This Row],[MonthlyIncome]]*12*0.75</f>
        <v>21654</v>
      </c>
      <c r="AI142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29">
        <f>IF(Table1[[#This Row],[Attrition]]="Yes",Table1[[#This Row],[EstReplacementCost]],0)</f>
        <v>0</v>
      </c>
    </row>
    <row r="1430" spans="1:36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57</v>
      </c>
      <c r="P1430">
        <v>2</v>
      </c>
      <c r="Q1430" t="s">
        <v>48</v>
      </c>
      <c r="R1430">
        <v>2269</v>
      </c>
      <c r="S1430">
        <v>18024</v>
      </c>
      <c r="T1430">
        <v>0</v>
      </c>
      <c r="U1430" t="s">
        <v>43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tr">
        <f>IF(Table1[[#This Row],[YearsAtCompany]]&lt;1,"0-1",IF(Table1[[#This Row],[YearsAtCompany]]&lt;=3,"1-3",IF(Table1[[#This Row],[YearsAtCompany]]&lt;=6,"4-6","7+")))</f>
        <v>1-3</v>
      </c>
      <c r="AH1430">
        <f>Table1[[#This Row],[MonthlyIncome]]*12*0.75</f>
        <v>20421</v>
      </c>
      <c r="AI143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30">
        <f>IF(Table1[[#This Row],[Attrition]]="Yes",Table1[[#This Row],[EstReplacementCost]],0)</f>
        <v>0</v>
      </c>
    </row>
    <row r="1431" spans="1:36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47</v>
      </c>
      <c r="P1431">
        <v>4</v>
      </c>
      <c r="Q1431" t="s">
        <v>41</v>
      </c>
      <c r="R1431">
        <v>4108</v>
      </c>
      <c r="S1431">
        <v>5340</v>
      </c>
      <c r="T1431">
        <v>7</v>
      </c>
      <c r="U1431" t="s">
        <v>43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tr">
        <f>IF(Table1[[#This Row],[YearsAtCompany]]&lt;1,"0-1",IF(Table1[[#This Row],[YearsAtCompany]]&lt;=3,"1-3",IF(Table1[[#This Row],[YearsAtCompany]]&lt;=6,"4-6","7+")))</f>
        <v>7+</v>
      </c>
      <c r="AH1431">
        <f>Table1[[#This Row],[MonthlyIncome]]*12*0.75</f>
        <v>36972</v>
      </c>
      <c r="AI143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31">
        <f>IF(Table1[[#This Row],[Attrition]]="Yes",Table1[[#This Row],[EstReplacementCost]],0)</f>
        <v>0</v>
      </c>
    </row>
    <row r="1432" spans="1:36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58</v>
      </c>
      <c r="P1432">
        <v>3</v>
      </c>
      <c r="Q1432" t="s">
        <v>48</v>
      </c>
      <c r="R1432">
        <v>13206</v>
      </c>
      <c r="S1432">
        <v>3376</v>
      </c>
      <c r="T1432">
        <v>3</v>
      </c>
      <c r="U1432" t="s">
        <v>43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tr">
        <f>IF(Table1[[#This Row],[YearsAtCompany]]&lt;1,"0-1",IF(Table1[[#This Row],[YearsAtCompany]]&lt;=3,"1-3",IF(Table1[[#This Row],[YearsAtCompany]]&lt;=6,"4-6","7+")))</f>
        <v>7+</v>
      </c>
      <c r="AH1432">
        <f>Table1[[#This Row],[MonthlyIncome]]*12*0.75</f>
        <v>118854</v>
      </c>
      <c r="AI143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32">
        <f>IF(Table1[[#This Row],[Attrition]]="Yes",Table1[[#This Row],[EstReplacementCost]],0)</f>
        <v>0</v>
      </c>
    </row>
    <row r="1433" spans="1:36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48</v>
      </c>
      <c r="R1433">
        <v>10422</v>
      </c>
      <c r="S1433">
        <v>24032</v>
      </c>
      <c r="T1433">
        <v>1</v>
      </c>
      <c r="U1433" t="s">
        <v>43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tr">
        <f>IF(Table1[[#This Row],[YearsAtCompany]]&lt;1,"0-1",IF(Table1[[#This Row],[YearsAtCompany]]&lt;=3,"1-3",IF(Table1[[#This Row],[YearsAtCompany]]&lt;=6,"4-6","7+")))</f>
        <v>7+</v>
      </c>
      <c r="AH1433">
        <f>Table1[[#This Row],[MonthlyIncome]]*12*0.75</f>
        <v>93798</v>
      </c>
      <c r="AI143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33">
        <f>IF(Table1[[#This Row],[Attrition]]="Yes",Table1[[#This Row],[EstReplacementCost]],0)</f>
        <v>0</v>
      </c>
    </row>
    <row r="1434" spans="1:36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58</v>
      </c>
      <c r="P1434">
        <v>4</v>
      </c>
      <c r="Q1434" t="s">
        <v>48</v>
      </c>
      <c r="R1434">
        <v>13744</v>
      </c>
      <c r="S1434">
        <v>15471</v>
      </c>
      <c r="T1434">
        <v>1</v>
      </c>
      <c r="U1434" t="s">
        <v>35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tr">
        <f>IF(Table1[[#This Row],[YearsAtCompany]]&lt;1,"0-1",IF(Table1[[#This Row],[YearsAtCompany]]&lt;=3,"1-3",IF(Table1[[#This Row],[YearsAtCompany]]&lt;=6,"4-6","7+")))</f>
        <v>7+</v>
      </c>
      <c r="AH1434">
        <f>Table1[[#This Row],[MonthlyIncome]]*12*0.75</f>
        <v>123696</v>
      </c>
      <c r="AI143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34">
        <f>IF(Table1[[#This Row],[Attrition]]="Yes",Table1[[#This Row],[EstReplacementCost]],0)</f>
        <v>0</v>
      </c>
    </row>
    <row r="1435" spans="1:36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52</v>
      </c>
      <c r="R1435">
        <v>4907</v>
      </c>
      <c r="S1435">
        <v>13684</v>
      </c>
      <c r="T1435">
        <v>0</v>
      </c>
      <c r="U1435" t="s">
        <v>35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tr">
        <f>IF(Table1[[#This Row],[YearsAtCompany]]&lt;1,"0-1",IF(Table1[[#This Row],[YearsAtCompany]]&lt;=3,"1-3",IF(Table1[[#This Row],[YearsAtCompany]]&lt;=6,"4-6","7+")))</f>
        <v>4-6</v>
      </c>
      <c r="AH1435">
        <f>Table1[[#This Row],[MonthlyIncome]]*12*0.75</f>
        <v>44163</v>
      </c>
      <c r="AI143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35">
        <f>IF(Table1[[#This Row],[Attrition]]="Yes",Table1[[#This Row],[EstReplacementCost]],0)</f>
        <v>0</v>
      </c>
    </row>
    <row r="1436" spans="1:36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57</v>
      </c>
      <c r="P1436">
        <v>4</v>
      </c>
      <c r="Q1436" t="s">
        <v>52</v>
      </c>
      <c r="R1436">
        <v>3482</v>
      </c>
      <c r="S1436">
        <v>19788</v>
      </c>
      <c r="T1436">
        <v>2</v>
      </c>
      <c r="U1436" t="s">
        <v>43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tr">
        <f>IF(Table1[[#This Row],[YearsAtCompany]]&lt;1,"0-1",IF(Table1[[#This Row],[YearsAtCompany]]&lt;=3,"1-3",IF(Table1[[#This Row],[YearsAtCompany]]&lt;=6,"4-6","7+")))</f>
        <v>7+</v>
      </c>
      <c r="AH1436">
        <f>Table1[[#This Row],[MonthlyIncome]]*12*0.75</f>
        <v>31338</v>
      </c>
      <c r="AI143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36">
        <f>IF(Table1[[#This Row],[Attrition]]="Yes",Table1[[#This Row],[EstReplacementCost]],0)</f>
        <v>0</v>
      </c>
    </row>
    <row r="1437" spans="1:36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47</v>
      </c>
      <c r="P1437">
        <v>4</v>
      </c>
      <c r="Q1437" t="s">
        <v>41</v>
      </c>
      <c r="R1437">
        <v>2436</v>
      </c>
      <c r="S1437">
        <v>13422</v>
      </c>
      <c r="T1437">
        <v>6</v>
      </c>
      <c r="U1437" t="s">
        <v>35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tr">
        <f>IF(Table1[[#This Row],[YearsAtCompany]]&lt;1,"0-1",IF(Table1[[#This Row],[YearsAtCompany]]&lt;=3,"1-3",IF(Table1[[#This Row],[YearsAtCompany]]&lt;=6,"4-6","7+")))</f>
        <v>4-6</v>
      </c>
      <c r="AH1437">
        <f>Table1[[#This Row],[MonthlyIncome]]*12*0.75</f>
        <v>21924</v>
      </c>
      <c r="AI143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37">
        <f>IF(Table1[[#This Row],[Attrition]]="Yes",Table1[[#This Row],[EstReplacementCost]],0)</f>
        <v>0</v>
      </c>
    </row>
    <row r="1438" spans="1:36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57</v>
      </c>
      <c r="P1438">
        <v>1</v>
      </c>
      <c r="Q1438" t="s">
        <v>41</v>
      </c>
      <c r="R1438">
        <v>2380</v>
      </c>
      <c r="S1438">
        <v>25479</v>
      </c>
      <c r="T1438">
        <v>1</v>
      </c>
      <c r="U1438" t="s">
        <v>35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tr">
        <f>IF(Table1[[#This Row],[YearsAtCompany]]&lt;1,"0-1",IF(Table1[[#This Row],[YearsAtCompany]]&lt;=3,"1-3",IF(Table1[[#This Row],[YearsAtCompany]]&lt;=6,"4-6","7+")))</f>
        <v>1-3</v>
      </c>
      <c r="AH1438">
        <f>Table1[[#This Row],[MonthlyIncome]]*12*0.75</f>
        <v>21420</v>
      </c>
      <c r="AI143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438">
        <f>IF(Table1[[#This Row],[Attrition]]="Yes",Table1[[#This Row],[EstReplacementCost]],0)</f>
        <v>0</v>
      </c>
    </row>
    <row r="1439" spans="1:36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56</v>
      </c>
      <c r="P1439">
        <v>4</v>
      </c>
      <c r="Q1439" t="s">
        <v>41</v>
      </c>
      <c r="R1439">
        <v>19431</v>
      </c>
      <c r="S1439">
        <v>15302</v>
      </c>
      <c r="T1439">
        <v>2</v>
      </c>
      <c r="U1439" t="s">
        <v>43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tr">
        <f>IF(Table1[[#This Row],[YearsAtCompany]]&lt;1,"0-1",IF(Table1[[#This Row],[YearsAtCompany]]&lt;=3,"1-3",IF(Table1[[#This Row],[YearsAtCompany]]&lt;=6,"4-6","7+")))</f>
        <v>4-6</v>
      </c>
      <c r="AH1439">
        <f>Table1[[#This Row],[MonthlyIncome]]*12*0.75</f>
        <v>174879</v>
      </c>
      <c r="AI143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39">
        <f>IF(Table1[[#This Row],[Attrition]]="Yes",Table1[[#This Row],[EstReplacementCost]],0)</f>
        <v>0</v>
      </c>
    </row>
    <row r="1440" spans="1:36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57</v>
      </c>
      <c r="P1440">
        <v>1</v>
      </c>
      <c r="Q1440" t="s">
        <v>48</v>
      </c>
      <c r="R1440">
        <v>1790</v>
      </c>
      <c r="S1440">
        <v>26956</v>
      </c>
      <c r="T1440">
        <v>1</v>
      </c>
      <c r="U1440" t="s">
        <v>43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tr">
        <f>IF(Table1[[#This Row],[YearsAtCompany]]&lt;1,"0-1",IF(Table1[[#This Row],[YearsAtCompany]]&lt;=3,"1-3",IF(Table1[[#This Row],[YearsAtCompany]]&lt;=6,"4-6","7+")))</f>
        <v>1-3</v>
      </c>
      <c r="AH1440">
        <f>Table1[[#This Row],[MonthlyIncome]]*12*0.75</f>
        <v>16110</v>
      </c>
      <c r="AI144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40">
        <f>IF(Table1[[#This Row],[Attrition]]="Yes",Table1[[#This Row],[EstReplacementCost]],0)</f>
        <v>16110</v>
      </c>
    </row>
    <row r="1441" spans="1:36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48</v>
      </c>
      <c r="R1441">
        <v>7644</v>
      </c>
      <c r="S1441">
        <v>12695</v>
      </c>
      <c r="T1441">
        <v>0</v>
      </c>
      <c r="U1441" t="s">
        <v>43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tr">
        <f>IF(Table1[[#This Row],[YearsAtCompany]]&lt;1,"0-1",IF(Table1[[#This Row],[YearsAtCompany]]&lt;=3,"1-3",IF(Table1[[#This Row],[YearsAtCompany]]&lt;=6,"4-6","7+")))</f>
        <v>7+</v>
      </c>
      <c r="AH1441">
        <f>Table1[[#This Row],[MonthlyIncome]]*12*0.75</f>
        <v>68796</v>
      </c>
      <c r="AI144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41">
        <f>IF(Table1[[#This Row],[Attrition]]="Yes",Table1[[#This Row],[EstReplacementCost]],0)</f>
        <v>0</v>
      </c>
    </row>
    <row r="1442" spans="1:36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53</v>
      </c>
      <c r="P1442">
        <v>2</v>
      </c>
      <c r="Q1442" t="s">
        <v>52</v>
      </c>
      <c r="R1442">
        <v>5131</v>
      </c>
      <c r="S1442">
        <v>9192</v>
      </c>
      <c r="T1442">
        <v>7</v>
      </c>
      <c r="U1442" t="s">
        <v>43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tr">
        <f>IF(Table1[[#This Row],[YearsAtCompany]]&lt;1,"0-1",IF(Table1[[#This Row],[YearsAtCompany]]&lt;=3,"1-3",IF(Table1[[#This Row],[YearsAtCompany]]&lt;=6,"4-6","7+")))</f>
        <v>4-6</v>
      </c>
      <c r="AH1442">
        <f>Table1[[#This Row],[MonthlyIncome]]*12*0.75</f>
        <v>46179</v>
      </c>
      <c r="AI144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42">
        <f>IF(Table1[[#This Row],[Attrition]]="Yes",Table1[[#This Row],[EstReplacementCost]],0)</f>
        <v>0</v>
      </c>
    </row>
    <row r="1443" spans="1:36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54</v>
      </c>
      <c r="P1443">
        <v>3</v>
      </c>
      <c r="Q1443" t="s">
        <v>52</v>
      </c>
      <c r="R1443">
        <v>6306</v>
      </c>
      <c r="S1443">
        <v>26236</v>
      </c>
      <c r="T1443">
        <v>1</v>
      </c>
      <c r="U1443" t="s">
        <v>43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tr">
        <f>IF(Table1[[#This Row],[YearsAtCompany]]&lt;1,"0-1",IF(Table1[[#This Row],[YearsAtCompany]]&lt;=3,"1-3",IF(Table1[[#This Row],[YearsAtCompany]]&lt;=6,"4-6","7+")))</f>
        <v>7+</v>
      </c>
      <c r="AH1443">
        <f>Table1[[#This Row],[MonthlyIncome]]*12*0.75</f>
        <v>56754</v>
      </c>
      <c r="AI144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43">
        <f>IF(Table1[[#This Row],[Attrition]]="Yes",Table1[[#This Row],[EstReplacementCost]],0)</f>
        <v>0</v>
      </c>
    </row>
    <row r="1444" spans="1:36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47</v>
      </c>
      <c r="P1444">
        <v>4</v>
      </c>
      <c r="Q1444" t="s">
        <v>48</v>
      </c>
      <c r="R1444">
        <v>4787</v>
      </c>
      <c r="S1444">
        <v>26124</v>
      </c>
      <c r="T1444">
        <v>9</v>
      </c>
      <c r="U1444" t="s">
        <v>35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tr">
        <f>IF(Table1[[#This Row],[YearsAtCompany]]&lt;1,"0-1",IF(Table1[[#This Row],[YearsAtCompany]]&lt;=3,"1-3",IF(Table1[[#This Row],[YearsAtCompany]]&lt;=6,"4-6","7+")))</f>
        <v>1-3</v>
      </c>
      <c r="AH1444">
        <f>Table1[[#This Row],[MonthlyIncome]]*12*0.75</f>
        <v>43083</v>
      </c>
      <c r="AI144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44">
        <f>IF(Table1[[#This Row],[Attrition]]="Yes",Table1[[#This Row],[EstReplacementCost]],0)</f>
        <v>43083</v>
      </c>
    </row>
    <row r="1445" spans="1:36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56</v>
      </c>
      <c r="P1445">
        <v>3</v>
      </c>
      <c r="Q1445" t="s">
        <v>48</v>
      </c>
      <c r="R1445">
        <v>18880</v>
      </c>
      <c r="S1445">
        <v>17312</v>
      </c>
      <c r="T1445">
        <v>5</v>
      </c>
      <c r="U1445" t="s">
        <v>43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tr">
        <f>IF(Table1[[#This Row],[YearsAtCompany]]&lt;1,"0-1",IF(Table1[[#This Row],[YearsAtCompany]]&lt;=3,"1-3",IF(Table1[[#This Row],[YearsAtCompany]]&lt;=6,"4-6","7+")))</f>
        <v>7+</v>
      </c>
      <c r="AH1445">
        <f>Table1[[#This Row],[MonthlyIncome]]*12*0.75</f>
        <v>169920</v>
      </c>
      <c r="AI144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45">
        <f>IF(Table1[[#This Row],[Attrition]]="Yes",Table1[[#This Row],[EstReplacementCost]],0)</f>
        <v>0</v>
      </c>
    </row>
    <row r="1446" spans="1:36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50</v>
      </c>
      <c r="P1446">
        <v>3</v>
      </c>
      <c r="Q1446" t="s">
        <v>48</v>
      </c>
      <c r="R1446">
        <v>2339</v>
      </c>
      <c r="S1446">
        <v>3666</v>
      </c>
      <c r="T1446">
        <v>8</v>
      </c>
      <c r="U1446" t="s">
        <v>43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tr">
        <f>IF(Table1[[#This Row],[YearsAtCompany]]&lt;1,"0-1",IF(Table1[[#This Row],[YearsAtCompany]]&lt;=3,"1-3",IF(Table1[[#This Row],[YearsAtCompany]]&lt;=6,"4-6","7+")))</f>
        <v>7+</v>
      </c>
      <c r="AH1446">
        <f>Table1[[#This Row],[MonthlyIncome]]*12*0.75</f>
        <v>21051</v>
      </c>
      <c r="AI144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46">
        <f>IF(Table1[[#This Row],[Attrition]]="Yes",Table1[[#This Row],[EstReplacementCost]],0)</f>
        <v>21051</v>
      </c>
    </row>
    <row r="1447" spans="1:36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53</v>
      </c>
      <c r="P1447">
        <v>2</v>
      </c>
      <c r="Q1447" t="s">
        <v>48</v>
      </c>
      <c r="R1447">
        <v>13570</v>
      </c>
      <c r="S1447">
        <v>5640</v>
      </c>
      <c r="T1447">
        <v>0</v>
      </c>
      <c r="U1447" t="s">
        <v>43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tr">
        <f>IF(Table1[[#This Row],[YearsAtCompany]]&lt;1,"0-1",IF(Table1[[#This Row],[YearsAtCompany]]&lt;=3,"1-3",IF(Table1[[#This Row],[YearsAtCompany]]&lt;=6,"4-6","7+")))</f>
        <v>7+</v>
      </c>
      <c r="AH1447">
        <f>Table1[[#This Row],[MonthlyIncome]]*12*0.75</f>
        <v>122130</v>
      </c>
      <c r="AI144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47">
        <f>IF(Table1[[#This Row],[Attrition]]="Yes",Table1[[#This Row],[EstReplacementCost]],0)</f>
        <v>0</v>
      </c>
    </row>
    <row r="1448" spans="1:36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48</v>
      </c>
      <c r="R1448">
        <v>6712</v>
      </c>
      <c r="S1448">
        <v>8978</v>
      </c>
      <c r="T1448">
        <v>1</v>
      </c>
      <c r="U1448" t="s">
        <v>43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tr">
        <f>IF(Table1[[#This Row],[YearsAtCompany]]&lt;1,"0-1",IF(Table1[[#This Row],[YearsAtCompany]]&lt;=3,"1-3",IF(Table1[[#This Row],[YearsAtCompany]]&lt;=6,"4-6","7+")))</f>
        <v>7+</v>
      </c>
      <c r="AH1448">
        <f>Table1[[#This Row],[MonthlyIncome]]*12*0.75</f>
        <v>60408</v>
      </c>
      <c r="AI144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48">
        <f>IF(Table1[[#This Row],[Attrition]]="Yes",Table1[[#This Row],[EstReplacementCost]],0)</f>
        <v>0</v>
      </c>
    </row>
    <row r="1449" spans="1:36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52</v>
      </c>
      <c r="R1449">
        <v>5406</v>
      </c>
      <c r="S1449">
        <v>10436</v>
      </c>
      <c r="T1449">
        <v>1</v>
      </c>
      <c r="U1449" t="s">
        <v>43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tr">
        <f>IF(Table1[[#This Row],[YearsAtCompany]]&lt;1,"0-1",IF(Table1[[#This Row],[YearsAtCompany]]&lt;=3,"1-3",IF(Table1[[#This Row],[YearsAtCompany]]&lt;=6,"4-6","7+")))</f>
        <v>7+</v>
      </c>
      <c r="AH1449">
        <f>Table1[[#This Row],[MonthlyIncome]]*12*0.75</f>
        <v>48654</v>
      </c>
      <c r="AI144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49">
        <f>IF(Table1[[#This Row],[Attrition]]="Yes",Table1[[#This Row],[EstReplacementCost]],0)</f>
        <v>0</v>
      </c>
    </row>
    <row r="1450" spans="1:36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52</v>
      </c>
      <c r="R1450">
        <v>8938</v>
      </c>
      <c r="S1450">
        <v>12227</v>
      </c>
      <c r="T1450">
        <v>2</v>
      </c>
      <c r="U1450" t="s">
        <v>43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tr">
        <f>IF(Table1[[#This Row],[YearsAtCompany]]&lt;1,"0-1",IF(Table1[[#This Row],[YearsAtCompany]]&lt;=3,"1-3",IF(Table1[[#This Row],[YearsAtCompany]]&lt;=6,"4-6","7+")))</f>
        <v>4-6</v>
      </c>
      <c r="AH1450">
        <f>Table1[[#This Row],[MonthlyIncome]]*12*0.75</f>
        <v>80442</v>
      </c>
      <c r="AI145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50">
        <f>IF(Table1[[#This Row],[Attrition]]="Yes",Table1[[#This Row],[EstReplacementCost]],0)</f>
        <v>0</v>
      </c>
    </row>
    <row r="1451" spans="1:36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47</v>
      </c>
      <c r="P1451">
        <v>1</v>
      </c>
      <c r="Q1451" t="s">
        <v>41</v>
      </c>
      <c r="R1451">
        <v>2439</v>
      </c>
      <c r="S1451">
        <v>11288</v>
      </c>
      <c r="T1451">
        <v>1</v>
      </c>
      <c r="U1451" t="s">
        <v>43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tr">
        <f>IF(Table1[[#This Row],[YearsAtCompany]]&lt;1,"0-1",IF(Table1[[#This Row],[YearsAtCompany]]&lt;=3,"1-3",IF(Table1[[#This Row],[YearsAtCompany]]&lt;=6,"4-6","7+")))</f>
        <v>4-6</v>
      </c>
      <c r="AH1451">
        <f>Table1[[#This Row],[MonthlyIncome]]*12*0.75</f>
        <v>21951</v>
      </c>
      <c r="AI145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51">
        <f>IF(Table1[[#This Row],[Attrition]]="Yes",Table1[[#This Row],[EstReplacementCost]],0)</f>
        <v>0</v>
      </c>
    </row>
    <row r="1452" spans="1:36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61</v>
      </c>
      <c r="P1452">
        <v>4</v>
      </c>
      <c r="Q1452" t="s">
        <v>41</v>
      </c>
      <c r="R1452">
        <v>8837</v>
      </c>
      <c r="S1452">
        <v>16642</v>
      </c>
      <c r="T1452">
        <v>1</v>
      </c>
      <c r="U1452" t="s">
        <v>35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tr">
        <f>IF(Table1[[#This Row],[YearsAtCompany]]&lt;1,"0-1",IF(Table1[[#This Row],[YearsAtCompany]]&lt;=3,"1-3",IF(Table1[[#This Row],[YearsAtCompany]]&lt;=6,"4-6","7+")))</f>
        <v>7+</v>
      </c>
      <c r="AH1452">
        <f>Table1[[#This Row],[MonthlyIncome]]*12*0.75</f>
        <v>79533</v>
      </c>
      <c r="AI145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52">
        <f>IF(Table1[[#This Row],[Attrition]]="Yes",Table1[[#This Row],[EstReplacementCost]],0)</f>
        <v>0</v>
      </c>
    </row>
    <row r="1453" spans="1:36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48</v>
      </c>
      <c r="R1453">
        <v>5343</v>
      </c>
      <c r="S1453">
        <v>5982</v>
      </c>
      <c r="T1453">
        <v>1</v>
      </c>
      <c r="U1453" t="s">
        <v>43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tr">
        <f>IF(Table1[[#This Row],[YearsAtCompany]]&lt;1,"0-1",IF(Table1[[#This Row],[YearsAtCompany]]&lt;=3,"1-3",IF(Table1[[#This Row],[YearsAtCompany]]&lt;=6,"4-6","7+")))</f>
        <v>7+</v>
      </c>
      <c r="AH1453">
        <f>Table1[[#This Row],[MonthlyIncome]]*12*0.75</f>
        <v>48087</v>
      </c>
      <c r="AI145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53">
        <f>IF(Table1[[#This Row],[Attrition]]="Yes",Table1[[#This Row],[EstReplacementCost]],0)</f>
        <v>0</v>
      </c>
    </row>
    <row r="1454" spans="1:36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52</v>
      </c>
      <c r="R1454">
        <v>6728</v>
      </c>
      <c r="S1454">
        <v>14255</v>
      </c>
      <c r="T1454">
        <v>7</v>
      </c>
      <c r="U1454" t="s">
        <v>43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tr">
        <f>IF(Table1[[#This Row],[YearsAtCompany]]&lt;1,"0-1",IF(Table1[[#This Row],[YearsAtCompany]]&lt;=3,"1-3",IF(Table1[[#This Row],[YearsAtCompany]]&lt;=6,"4-6","7+")))</f>
        <v>4-6</v>
      </c>
      <c r="AH1454">
        <f>Table1[[#This Row],[MonthlyIncome]]*12*0.75</f>
        <v>60552</v>
      </c>
      <c r="AI145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54">
        <f>IF(Table1[[#This Row],[Attrition]]="Yes",Table1[[#This Row],[EstReplacementCost]],0)</f>
        <v>60552</v>
      </c>
    </row>
    <row r="1455" spans="1:36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48</v>
      </c>
      <c r="R1455">
        <v>6652</v>
      </c>
      <c r="S1455">
        <v>14369</v>
      </c>
      <c r="T1455">
        <v>4</v>
      </c>
      <c r="U1455" t="s">
        <v>43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tr">
        <f>IF(Table1[[#This Row],[YearsAtCompany]]&lt;1,"0-1",IF(Table1[[#This Row],[YearsAtCompany]]&lt;=3,"1-3",IF(Table1[[#This Row],[YearsAtCompany]]&lt;=6,"4-6","7+")))</f>
        <v>4-6</v>
      </c>
      <c r="AH1455">
        <f>Table1[[#This Row],[MonthlyIncome]]*12*0.75</f>
        <v>59868</v>
      </c>
      <c r="AI145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55">
        <f>IF(Table1[[#This Row],[Attrition]]="Yes",Table1[[#This Row],[EstReplacementCost]],0)</f>
        <v>0</v>
      </c>
    </row>
    <row r="1456" spans="1:36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>
        <v>4850</v>
      </c>
      <c r="S1456">
        <v>23333</v>
      </c>
      <c r="T1456">
        <v>8</v>
      </c>
      <c r="U1456" t="s">
        <v>43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tr">
        <f>IF(Table1[[#This Row],[YearsAtCompany]]&lt;1,"0-1",IF(Table1[[#This Row],[YearsAtCompany]]&lt;=3,"1-3",IF(Table1[[#This Row],[YearsAtCompany]]&lt;=6,"4-6","7+")))</f>
        <v>4-6</v>
      </c>
      <c r="AH1456">
        <f>Table1[[#This Row],[MonthlyIncome]]*12*0.75</f>
        <v>43650</v>
      </c>
      <c r="AI145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56">
        <f>IF(Table1[[#This Row],[Attrition]]="Yes",Table1[[#This Row],[EstReplacementCost]],0)</f>
        <v>0</v>
      </c>
    </row>
    <row r="1457" spans="1:36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47</v>
      </c>
      <c r="P1457">
        <v>3</v>
      </c>
      <c r="Q1457" t="s">
        <v>41</v>
      </c>
      <c r="R1457">
        <v>2809</v>
      </c>
      <c r="S1457">
        <v>2725</v>
      </c>
      <c r="T1457">
        <v>2</v>
      </c>
      <c r="U1457" t="s">
        <v>43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tr">
        <f>IF(Table1[[#This Row],[YearsAtCompany]]&lt;1,"0-1",IF(Table1[[#This Row],[YearsAtCompany]]&lt;=3,"1-3",IF(Table1[[#This Row],[YearsAtCompany]]&lt;=6,"4-6","7+")))</f>
        <v>1-3</v>
      </c>
      <c r="AH1457">
        <f>Table1[[#This Row],[MonthlyIncome]]*12*0.75</f>
        <v>25281</v>
      </c>
      <c r="AI145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57">
        <f>IF(Table1[[#This Row],[Attrition]]="Yes",Table1[[#This Row],[EstReplacementCost]],0)</f>
        <v>0</v>
      </c>
    </row>
    <row r="1458" spans="1:36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54</v>
      </c>
      <c r="P1458">
        <v>3</v>
      </c>
      <c r="Q1458" t="s">
        <v>48</v>
      </c>
      <c r="R1458">
        <v>5689</v>
      </c>
      <c r="S1458">
        <v>24594</v>
      </c>
      <c r="T1458">
        <v>1</v>
      </c>
      <c r="U1458" t="s">
        <v>35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tr">
        <f>IF(Table1[[#This Row],[YearsAtCompany]]&lt;1,"0-1",IF(Table1[[#This Row],[YearsAtCompany]]&lt;=3,"1-3",IF(Table1[[#This Row],[YearsAtCompany]]&lt;=6,"4-6","7+")))</f>
        <v>7+</v>
      </c>
      <c r="AH1458">
        <f>Table1[[#This Row],[MonthlyIncome]]*12*0.75</f>
        <v>51201</v>
      </c>
      <c r="AI145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58">
        <f>IF(Table1[[#This Row],[Attrition]]="Yes",Table1[[#This Row],[EstReplacementCost]],0)</f>
        <v>0</v>
      </c>
    </row>
    <row r="1459" spans="1:36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47</v>
      </c>
      <c r="P1459">
        <v>3</v>
      </c>
      <c r="Q1459" t="s">
        <v>48</v>
      </c>
      <c r="R1459">
        <v>2001</v>
      </c>
      <c r="S1459">
        <v>12549</v>
      </c>
      <c r="T1459">
        <v>2</v>
      </c>
      <c r="U1459" t="s">
        <v>43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tr">
        <f>IF(Table1[[#This Row],[YearsAtCompany]]&lt;1,"0-1",IF(Table1[[#This Row],[YearsAtCompany]]&lt;=3,"1-3",IF(Table1[[#This Row],[YearsAtCompany]]&lt;=6,"4-6","7+")))</f>
        <v>4-6</v>
      </c>
      <c r="AH1459">
        <f>Table1[[#This Row],[MonthlyIncome]]*12*0.75</f>
        <v>18009</v>
      </c>
      <c r="AI145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59">
        <f>IF(Table1[[#This Row],[Attrition]]="Yes",Table1[[#This Row],[EstReplacementCost]],0)</f>
        <v>0</v>
      </c>
    </row>
    <row r="1460" spans="1:36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47</v>
      </c>
      <c r="P1460">
        <v>4</v>
      </c>
      <c r="Q1460" t="s">
        <v>48</v>
      </c>
      <c r="R1460">
        <v>2977</v>
      </c>
      <c r="S1460">
        <v>8952</v>
      </c>
      <c r="T1460">
        <v>1</v>
      </c>
      <c r="U1460" t="s">
        <v>43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tr">
        <f>IF(Table1[[#This Row],[YearsAtCompany]]&lt;1,"0-1",IF(Table1[[#This Row],[YearsAtCompany]]&lt;=3,"1-3",IF(Table1[[#This Row],[YearsAtCompany]]&lt;=6,"4-6","7+")))</f>
        <v>4-6</v>
      </c>
      <c r="AH1460">
        <f>Table1[[#This Row],[MonthlyIncome]]*12*0.75</f>
        <v>26793</v>
      </c>
      <c r="AI146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60">
        <f>IF(Table1[[#This Row],[Attrition]]="Yes",Table1[[#This Row],[EstReplacementCost]],0)</f>
        <v>0</v>
      </c>
    </row>
    <row r="1461" spans="1:36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50</v>
      </c>
      <c r="P1461">
        <v>2</v>
      </c>
      <c r="Q1461" t="s">
        <v>48</v>
      </c>
      <c r="R1461">
        <v>4025</v>
      </c>
      <c r="S1461">
        <v>23679</v>
      </c>
      <c r="T1461">
        <v>4</v>
      </c>
      <c r="U1461" t="s">
        <v>35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tr">
        <f>IF(Table1[[#This Row],[YearsAtCompany]]&lt;1,"0-1",IF(Table1[[#This Row],[YearsAtCompany]]&lt;=3,"1-3",IF(Table1[[#This Row],[YearsAtCompany]]&lt;=6,"4-6","7+")))</f>
        <v>4-6</v>
      </c>
      <c r="AH1461">
        <f>Table1[[#This Row],[MonthlyIncome]]*12*0.75</f>
        <v>36225</v>
      </c>
      <c r="AI146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61">
        <f>IF(Table1[[#This Row],[Attrition]]="Yes",Table1[[#This Row],[EstReplacementCost]],0)</f>
        <v>0</v>
      </c>
    </row>
    <row r="1462" spans="1:36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47</v>
      </c>
      <c r="P1462">
        <v>1</v>
      </c>
      <c r="Q1462" t="s">
        <v>41</v>
      </c>
      <c r="R1462">
        <v>3785</v>
      </c>
      <c r="S1462">
        <v>8489</v>
      </c>
      <c r="T1462">
        <v>1</v>
      </c>
      <c r="U1462" t="s">
        <v>43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tr">
        <f>IF(Table1[[#This Row],[YearsAtCompany]]&lt;1,"0-1",IF(Table1[[#This Row],[YearsAtCompany]]&lt;=3,"1-3",IF(Table1[[#This Row],[YearsAtCompany]]&lt;=6,"4-6","7+")))</f>
        <v>4-6</v>
      </c>
      <c r="AH1462">
        <f>Table1[[#This Row],[MonthlyIncome]]*12*0.75</f>
        <v>34065</v>
      </c>
      <c r="AI1462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62">
        <f>IF(Table1[[#This Row],[Attrition]]="Yes",Table1[[#This Row],[EstReplacementCost]],0)</f>
        <v>0</v>
      </c>
    </row>
    <row r="1463" spans="1:36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52</v>
      </c>
      <c r="R1463">
        <v>10854</v>
      </c>
      <c r="S1463">
        <v>16586</v>
      </c>
      <c r="T1463">
        <v>4</v>
      </c>
      <c r="U1463" t="s">
        <v>35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tr">
        <f>IF(Table1[[#This Row],[YearsAtCompany]]&lt;1,"0-1",IF(Table1[[#This Row],[YearsAtCompany]]&lt;=3,"1-3",IF(Table1[[#This Row],[YearsAtCompany]]&lt;=6,"4-6","7+")))</f>
        <v>1-3</v>
      </c>
      <c r="AH1463">
        <f>Table1[[#This Row],[MonthlyIncome]]*12*0.75</f>
        <v>97686</v>
      </c>
      <c r="AI1463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High</v>
      </c>
      <c r="AJ1463">
        <f>IF(Table1[[#This Row],[Attrition]]="Yes",Table1[[#This Row],[EstReplacementCost]],0)</f>
        <v>97686</v>
      </c>
    </row>
    <row r="1464" spans="1:36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48</v>
      </c>
      <c r="R1464">
        <v>12031</v>
      </c>
      <c r="S1464">
        <v>8828</v>
      </c>
      <c r="T1464">
        <v>0</v>
      </c>
      <c r="U1464" t="s">
        <v>43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tr">
        <f>IF(Table1[[#This Row],[YearsAtCompany]]&lt;1,"0-1",IF(Table1[[#This Row],[YearsAtCompany]]&lt;=3,"1-3",IF(Table1[[#This Row],[YearsAtCompany]]&lt;=6,"4-6","7+")))</f>
        <v>7+</v>
      </c>
      <c r="AH1464">
        <f>Table1[[#This Row],[MonthlyIncome]]*12*0.75</f>
        <v>108279</v>
      </c>
      <c r="AI1464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64">
        <f>IF(Table1[[#This Row],[Attrition]]="Yes",Table1[[#This Row],[EstReplacementCost]],0)</f>
        <v>0</v>
      </c>
    </row>
    <row r="1465" spans="1:36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53</v>
      </c>
      <c r="P1465">
        <v>1</v>
      </c>
      <c r="Q1465" t="s">
        <v>41</v>
      </c>
      <c r="R1465">
        <v>9936</v>
      </c>
      <c r="S1465">
        <v>3787</v>
      </c>
      <c r="T1465">
        <v>0</v>
      </c>
      <c r="U1465" t="s">
        <v>43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tr">
        <f>IF(Table1[[#This Row],[YearsAtCompany]]&lt;1,"0-1",IF(Table1[[#This Row],[YearsAtCompany]]&lt;=3,"1-3",IF(Table1[[#This Row],[YearsAtCompany]]&lt;=6,"4-6","7+")))</f>
        <v>7+</v>
      </c>
      <c r="AH1465">
        <f>Table1[[#This Row],[MonthlyIncome]]*12*0.75</f>
        <v>89424</v>
      </c>
      <c r="AI1465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65">
        <f>IF(Table1[[#This Row],[Attrition]]="Yes",Table1[[#This Row],[EstReplacementCost]],0)</f>
        <v>0</v>
      </c>
    </row>
    <row r="1466" spans="1:36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57</v>
      </c>
      <c r="P1466">
        <v>3</v>
      </c>
      <c r="Q1466" t="s">
        <v>41</v>
      </c>
      <c r="R1466">
        <v>2966</v>
      </c>
      <c r="S1466">
        <v>21378</v>
      </c>
      <c r="T1466">
        <v>0</v>
      </c>
      <c r="U1466" t="s">
        <v>43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tr">
        <f>IF(Table1[[#This Row],[YearsAtCompany]]&lt;1,"0-1",IF(Table1[[#This Row],[YearsAtCompany]]&lt;=3,"1-3",IF(Table1[[#This Row],[YearsAtCompany]]&lt;=6,"4-6","7+")))</f>
        <v>4-6</v>
      </c>
      <c r="AH1466">
        <f>Table1[[#This Row],[MonthlyIncome]]*12*0.75</f>
        <v>26694</v>
      </c>
      <c r="AI1466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66">
        <f>IF(Table1[[#This Row],[Attrition]]="Yes",Table1[[#This Row],[EstReplacementCost]],0)</f>
        <v>0</v>
      </c>
    </row>
    <row r="1467" spans="1:36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50</v>
      </c>
      <c r="P1467">
        <v>4</v>
      </c>
      <c r="Q1467" t="s">
        <v>48</v>
      </c>
      <c r="R1467">
        <v>2571</v>
      </c>
      <c r="S1467">
        <v>12290</v>
      </c>
      <c r="T1467">
        <v>4</v>
      </c>
      <c r="U1467" t="s">
        <v>43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tr">
        <f>IF(Table1[[#This Row],[YearsAtCompany]]&lt;1,"0-1",IF(Table1[[#This Row],[YearsAtCompany]]&lt;=3,"1-3",IF(Table1[[#This Row],[YearsAtCompany]]&lt;=6,"4-6","7+")))</f>
        <v>4-6</v>
      </c>
      <c r="AH1467">
        <f>Table1[[#This Row],[MonthlyIncome]]*12*0.75</f>
        <v>23139</v>
      </c>
      <c r="AI1467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67">
        <f>IF(Table1[[#This Row],[Attrition]]="Yes",Table1[[#This Row],[EstReplacementCost]],0)</f>
        <v>0</v>
      </c>
    </row>
    <row r="1468" spans="1:36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54</v>
      </c>
      <c r="P1468">
        <v>1</v>
      </c>
      <c r="Q1468" t="s">
        <v>48</v>
      </c>
      <c r="R1468">
        <v>9991</v>
      </c>
      <c r="S1468">
        <v>21457</v>
      </c>
      <c r="T1468">
        <v>4</v>
      </c>
      <c r="U1468" t="s">
        <v>43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tr">
        <f>IF(Table1[[#This Row],[YearsAtCompany]]&lt;1,"0-1",IF(Table1[[#This Row],[YearsAtCompany]]&lt;=3,"1-3",IF(Table1[[#This Row],[YearsAtCompany]]&lt;=6,"4-6","7+")))</f>
        <v>7+</v>
      </c>
      <c r="AH1468">
        <f>Table1[[#This Row],[MonthlyIncome]]*12*0.75</f>
        <v>89919</v>
      </c>
      <c r="AI1468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68">
        <f>IF(Table1[[#This Row],[Attrition]]="Yes",Table1[[#This Row],[EstReplacementCost]],0)</f>
        <v>0</v>
      </c>
    </row>
    <row r="1469" spans="1:36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53</v>
      </c>
      <c r="P1469">
        <v>2</v>
      </c>
      <c r="Q1469" t="s">
        <v>48</v>
      </c>
      <c r="R1469">
        <v>6142</v>
      </c>
      <c r="S1469">
        <v>5174</v>
      </c>
      <c r="T1469">
        <v>1</v>
      </c>
      <c r="U1469" t="s">
        <v>35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tr">
        <f>IF(Table1[[#This Row],[YearsAtCompany]]&lt;1,"0-1",IF(Table1[[#This Row],[YearsAtCompany]]&lt;=3,"1-3",IF(Table1[[#This Row],[YearsAtCompany]]&lt;=6,"4-6","7+")))</f>
        <v>4-6</v>
      </c>
      <c r="AH1469">
        <f>Table1[[#This Row],[MonthlyIncome]]*12*0.75</f>
        <v>55278</v>
      </c>
      <c r="AI1469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69">
        <f>IF(Table1[[#This Row],[Attrition]]="Yes",Table1[[#This Row],[EstReplacementCost]],0)</f>
        <v>0</v>
      </c>
    </row>
    <row r="1470" spans="1:36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48</v>
      </c>
      <c r="R1470">
        <v>5390</v>
      </c>
      <c r="S1470">
        <v>13243</v>
      </c>
      <c r="T1470">
        <v>2</v>
      </c>
      <c r="U1470" t="s">
        <v>43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tr">
        <f>IF(Table1[[#This Row],[YearsAtCompany]]&lt;1,"0-1",IF(Table1[[#This Row],[YearsAtCompany]]&lt;=3,"1-3",IF(Table1[[#This Row],[YearsAtCompany]]&lt;=6,"4-6","7+")))</f>
        <v>7+</v>
      </c>
      <c r="AH1470">
        <f>Table1[[#This Row],[MonthlyIncome]]*12*0.75</f>
        <v>48510</v>
      </c>
      <c r="AI1470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Medium</v>
      </c>
      <c r="AJ1470">
        <f>IF(Table1[[#This Row],[Attrition]]="Yes",Table1[[#This Row],[EstReplacementCost]],0)</f>
        <v>0</v>
      </c>
    </row>
    <row r="1471" spans="1:36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50</v>
      </c>
      <c r="P1471">
        <v>3</v>
      </c>
      <c r="Q1471" t="s">
        <v>48</v>
      </c>
      <c r="R1471">
        <v>4404</v>
      </c>
      <c r="S1471">
        <v>10228</v>
      </c>
      <c r="T1471">
        <v>2</v>
      </c>
      <c r="U1471" t="s">
        <v>43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tr">
        <f>IF(Table1[[#This Row],[YearsAtCompany]]&lt;1,"0-1",IF(Table1[[#This Row],[YearsAtCompany]]&lt;=3,"1-3",IF(Table1[[#This Row],[YearsAtCompany]]&lt;=6,"4-6","7+")))</f>
        <v>4-6</v>
      </c>
      <c r="AH1471">
        <f>Table1[[#This Row],[MonthlyIncome]]*12*0.75</f>
        <v>39636</v>
      </c>
      <c r="AI1471" t="str">
        <f>IF(AND(Table1[[#This Row],[OverTime]]="Yes",Table1[[#This Row],[JobSatisfaction]]&lt;=2,Table1[[#This Row],[YearsAtCompany]]&lt;=3),"High",IF(OR(Table1[[#This Row],[OverTime]]="Yes",Table1[[#This Row],[JobSatisfaction]]&lt;=2),"Medium","Low"))</f>
        <v>Low</v>
      </c>
      <c r="AJ1471">
        <f>IF(Table1[[#This Row],[Attrition]]="Yes",Table1[[#This Row],[EstReplacementCost]],0)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WA_Fn-UseC_-HR-Employee-Att (2)</vt:lpstr>
      <vt:lpstr>Pivots</vt:lpstr>
      <vt:lpstr>HR_Data_Clean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Sharma</dc:creator>
  <cp:lastModifiedBy>sneha sharma</cp:lastModifiedBy>
  <dcterms:created xsi:type="dcterms:W3CDTF">2026-08-10T11:51:26Z</dcterms:created>
  <dcterms:modified xsi:type="dcterms:W3CDTF">2026-08-10T20:48:33Z</dcterms:modified>
</cp:coreProperties>
</file>